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eneral Journal" sheetId="1" state="visible" r:id="rId1"/>
    <sheet xmlns:r="http://schemas.openxmlformats.org/officeDocument/2006/relationships" name="Sales Journal" sheetId="2" state="visible" r:id="rId2"/>
    <sheet xmlns:r="http://schemas.openxmlformats.org/officeDocument/2006/relationships" name="Purchases Journal" sheetId="3" state="visible" r:id="rId3"/>
    <sheet xmlns:r="http://schemas.openxmlformats.org/officeDocument/2006/relationships" name="Returns Journal" sheetId="4" state="visible" r:id="rId4"/>
    <sheet xmlns:r="http://schemas.openxmlformats.org/officeDocument/2006/relationships" name="Task 1 Analysis" sheetId="5" state="visible" r:id="rId5"/>
    <sheet xmlns:r="http://schemas.openxmlformats.org/officeDocument/2006/relationships" name="Summary" sheetId="6" state="visible" r:id="rId6"/>
    <sheet xmlns:r="http://schemas.openxmlformats.org/officeDocument/2006/relationships" name="Task 4 Errors" sheetId="7" state="visible" r:id="rId7"/>
    <sheet xmlns:r="http://schemas.openxmlformats.org/officeDocument/2006/relationships" name="Task 5 Reflection" sheetId="8" state="visible" r:id="rId8"/>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i val="1"/>
      <sz val="9"/>
    </font>
  </fonts>
  <fills count="3">
    <fill>
      <patternFill/>
    </fill>
    <fill>
      <patternFill patternType="gray125"/>
    </fill>
    <fill>
      <patternFill patternType="solid">
        <fgColor rgb="00D9EAF7"/>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8">
    <xf numFmtId="0" fontId="0" fillId="0" borderId="0" pivotButton="0" quotePrefix="0" xfId="0"/>
    <xf numFmtId="0" fontId="1" fillId="0" borderId="0" pivotButton="0" quotePrefix="0" xfId="0"/>
    <xf numFmtId="0" fontId="2" fillId="2" borderId="1" applyAlignment="1" pivotButton="0" quotePrefix="0" xfId="0">
      <alignment vertical="top" wrapText="1"/>
    </xf>
    <xf numFmtId="0" fontId="0" fillId="0" borderId="1" applyAlignment="1" pivotButton="0" quotePrefix="0" xfId="0">
      <alignment vertical="top" wrapText="1"/>
    </xf>
    <xf numFmtId="3" fontId="0" fillId="0" borderId="1" applyAlignment="1" pivotButton="0" quotePrefix="0" xfId="0">
      <alignment vertical="top" wrapText="1"/>
    </xf>
    <xf numFmtId="0" fontId="2" fillId="0" borderId="1" applyAlignment="1" pivotButton="0" quotePrefix="0" xfId="0">
      <alignment vertical="top" wrapText="1"/>
    </xf>
    <xf numFmtId="0" fontId="3"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showGridLines="0" workbookViewId="0">
      <pane ySplit="5" topLeftCell="A6" activePane="bottomLeft" state="frozen"/>
      <selection pane="bottomLeft" activeCell="A1" sqref="A1"/>
    </sheetView>
  </sheetViews>
  <sheetFormatPr baseColWidth="8" defaultRowHeight="15"/>
  <cols>
    <col width="16" customWidth="1" min="1" max="1"/>
    <col width="14" customWidth="1" min="2" max="2"/>
    <col width="52" customWidth="1" min="3" max="3"/>
    <col width="18" customWidth="1" min="4" max="4"/>
    <col width="18" customWidth="1" min="5" max="5"/>
  </cols>
  <sheetData>
    <row r="1">
      <c r="A1" s="1" t="inlineStr">
        <is>
          <t>General Journal — July 2026</t>
        </is>
      </c>
    </row>
    <row r="2">
      <c r="A2" t="inlineStr">
        <is>
          <t>Student: NAMUDDU VIVIAN LUKWAGO</t>
        </is>
      </c>
    </row>
    <row r="3">
      <c r="A3" t="inlineStr">
        <is>
          <t>Registration No.: S25B13/019</t>
        </is>
      </c>
    </row>
    <row r="4"/>
    <row r="5">
      <c r="A5" s="2" t="inlineStr">
        <is>
          <t>Date</t>
        </is>
      </c>
      <c r="B5" s="2" t="inlineStr">
        <is>
          <t>Doc. No.</t>
        </is>
      </c>
      <c r="C5" s="2" t="inlineStr">
        <is>
          <t>Particulars</t>
        </is>
      </c>
      <c r="D5" s="2" t="inlineStr">
        <is>
          <t>Debit (UGX)</t>
        </is>
      </c>
      <c r="E5" s="2" t="inlineStr">
        <is>
          <t>Credit (UGX)</t>
        </is>
      </c>
    </row>
    <row r="6">
      <c r="A6" s="3" t="inlineStr">
        <is>
          <t>1-Jul-2026</t>
        </is>
      </c>
      <c r="B6" s="3" t="inlineStr">
        <is>
          <t>OB</t>
        </is>
      </c>
      <c r="C6" s="3" t="inlineStr">
        <is>
          <t>Office Computers &amp; Furniture</t>
        </is>
      </c>
      <c r="D6" s="4" t="n">
        <v>3500000</v>
      </c>
      <c r="E6" s="3" t="inlineStr"/>
    </row>
    <row r="7">
      <c r="A7" s="3" t="inlineStr">
        <is>
          <t>1-Jul-2026</t>
        </is>
      </c>
      <c r="B7" s="3" t="inlineStr">
        <is>
          <t>OB</t>
        </is>
      </c>
      <c r="C7" s="3" t="inlineStr">
        <is>
          <t>Cash</t>
        </is>
      </c>
      <c r="D7" s="4" t="n">
        <v>5000000</v>
      </c>
      <c r="E7" s="3" t="inlineStr"/>
    </row>
    <row r="8">
      <c r="A8" s="3" t="inlineStr">
        <is>
          <t>1-Jul-2026</t>
        </is>
      </c>
      <c r="B8" s="3" t="inlineStr">
        <is>
          <t>OB</t>
        </is>
      </c>
      <c r="C8" s="3" t="inlineStr">
        <is>
          <t>Capital</t>
        </is>
      </c>
      <c r="D8" s="3" t="inlineStr"/>
      <c r="E8" s="3" t="inlineStr">
        <is>
          <t>8500000</t>
        </is>
      </c>
    </row>
    <row r="9">
      <c r="A9" s="3" t="inlineStr"/>
      <c r="B9" s="3" t="inlineStr"/>
      <c r="C9" s="3" t="inlineStr">
        <is>
          <t>Being opening capital introduced as cash and office assets.</t>
        </is>
      </c>
      <c r="D9" s="3" t="inlineStr"/>
      <c r="E9" s="3" t="inlineStr"/>
    </row>
    <row r="10">
      <c r="A10" s="3" t="inlineStr">
        <is>
          <t>14-Jul-2026</t>
        </is>
      </c>
      <c r="B10" s="3" t="inlineStr">
        <is>
          <t>Inv. LM-77</t>
        </is>
      </c>
      <c r="C10" s="3" t="inlineStr">
        <is>
          <t>Laminating Machine</t>
        </is>
      </c>
      <c r="D10" s="4" t="n">
        <v>1200000</v>
      </c>
      <c r="E10" s="3" t="inlineStr"/>
    </row>
    <row r="11">
      <c r="A11" s="3" t="inlineStr">
        <is>
          <t>14-Jul-2026</t>
        </is>
      </c>
      <c r="B11" s="3" t="inlineStr">
        <is>
          <t>Inv. LM-77</t>
        </is>
      </c>
      <c r="C11" s="3" t="inlineStr">
        <is>
          <t>Accounts Payable — Lakeside Machines Ltd</t>
        </is>
      </c>
      <c r="D11" s="3" t="inlineStr"/>
      <c r="E11" s="3" t="inlineStr">
        <is>
          <t>1200000</t>
        </is>
      </c>
    </row>
    <row r="12">
      <c r="A12" s="3" t="inlineStr">
        <is>
          <t>14-Jul-2026</t>
        </is>
      </c>
      <c r="B12" s="3" t="inlineStr"/>
      <c r="C12" s="3" t="inlineStr">
        <is>
          <t>Being laminating machine acquired on credit for business use.</t>
        </is>
      </c>
      <c r="D12" s="3" t="inlineStr"/>
      <c r="E12" s="3" t="inlineStr"/>
    </row>
    <row r="13">
      <c r="A13" s="3" t="inlineStr">
        <is>
          <t>22-Jul-2026</t>
        </is>
      </c>
      <c r="B13" s="3" t="inlineStr">
        <is>
          <t>JV 02</t>
        </is>
      </c>
      <c r="C13" s="3" t="inlineStr">
        <is>
          <t>Printer</t>
        </is>
      </c>
      <c r="D13" s="4" t="n">
        <v>500000</v>
      </c>
      <c r="E13" s="3" t="inlineStr"/>
    </row>
    <row r="14">
      <c r="A14" s="3" t="inlineStr">
        <is>
          <t>22-Jul-2026</t>
        </is>
      </c>
      <c r="B14" s="3" t="inlineStr">
        <is>
          <t>JV 02</t>
        </is>
      </c>
      <c r="C14" s="3" t="inlineStr">
        <is>
          <t>Capital</t>
        </is>
      </c>
      <c r="D14" s="3" t="inlineStr"/>
      <c r="E14" s="3" t="inlineStr">
        <is>
          <t>500000</t>
        </is>
      </c>
    </row>
    <row r="15">
      <c r="A15" s="3" t="inlineStr">
        <is>
          <t>22-Jul-2026</t>
        </is>
      </c>
      <c r="B15" s="3" t="inlineStr"/>
      <c r="C15" s="3" t="inlineStr">
        <is>
          <t>Being printer contributed by the owner as additional capital.</t>
        </is>
      </c>
      <c r="D15" s="3" t="inlineStr"/>
      <c r="E15" s="3" t="inlineStr"/>
    </row>
    <row r="16">
      <c r="A16" s="3" t="inlineStr">
        <is>
          <t>28-Jul-2026</t>
        </is>
      </c>
      <c r="B16" s="3" t="inlineStr">
        <is>
          <t>JV 03</t>
        </is>
      </c>
      <c r="C16" s="3" t="inlineStr">
        <is>
          <t>Transport Expense</t>
        </is>
      </c>
      <c r="D16" s="4" t="n">
        <v>180000</v>
      </c>
      <c r="E16" s="3" t="inlineStr"/>
    </row>
    <row r="17">
      <c r="A17" s="3" t="inlineStr">
        <is>
          <t>28-Jul-2026</t>
        </is>
      </c>
      <c r="B17" s="3" t="inlineStr">
        <is>
          <t>JV 03</t>
        </is>
      </c>
      <c r="C17" s="3" t="inlineStr">
        <is>
          <t>Rent Expense</t>
        </is>
      </c>
      <c r="D17" s="3" t="inlineStr"/>
      <c r="E17" s="3" t="inlineStr">
        <is>
          <t>180000</t>
        </is>
      </c>
    </row>
    <row r="18">
      <c r="A18" s="3" t="inlineStr">
        <is>
          <t>28-Jul-2026</t>
        </is>
      </c>
      <c r="B18" s="3" t="inlineStr"/>
      <c r="C18" s="3" t="inlineStr">
        <is>
          <t>Being delivery costs reclassified from Rent Expense to Transport Expense.</t>
        </is>
      </c>
      <c r="D18" s="3" t="inlineStr"/>
      <c r="E18" s="3" t="inlineStr"/>
    </row>
    <row r="19">
      <c r="A19" s="5" t="inlineStr"/>
      <c r="B19" s="3" t="inlineStr"/>
      <c r="C19" s="5" t="inlineStr">
        <is>
          <t>TOTAL</t>
        </is>
      </c>
      <c r="D19" s="3">
        <f>SUM(D6:D18)</f>
        <v/>
      </c>
      <c r="E19" s="3">
        <f>SUM(E6:E18)</f>
        <v/>
      </c>
    </row>
    <row r="20">
      <c r="A20" s="3" t="inlineStr"/>
      <c r="B20" s="3" t="inlineStr"/>
      <c r="C20" s="5" t="inlineStr">
        <is>
          <t>Balanced?</t>
        </is>
      </c>
      <c r="D20" s="5">
        <f>IF(D19=E19,"Balanced","Check entry")</f>
        <v/>
      </c>
      <c r="E20" s="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5"/>
  <sheetViews>
    <sheetView showGridLines="0" workbookViewId="0">
      <pane ySplit="5" topLeftCell="A6" activePane="bottomLeft" state="frozen"/>
      <selection pane="bottomLeft" activeCell="A1" sqref="A1"/>
    </sheetView>
  </sheetViews>
  <sheetFormatPr baseColWidth="8" defaultRowHeight="15"/>
  <cols>
    <col width="16" customWidth="1" min="1" max="1"/>
    <col width="14" customWidth="1" min="2" max="2"/>
    <col width="52" customWidth="1" min="3" max="3"/>
    <col width="18" customWidth="1" min="4" max="4"/>
    <col width="18" customWidth="1" min="5" max="5"/>
  </cols>
  <sheetData>
    <row r="1">
      <c r="A1" s="1" t="inlineStr">
        <is>
          <t>Sales Journal — July 2026</t>
        </is>
      </c>
    </row>
    <row r="2">
      <c r="A2" t="inlineStr">
        <is>
          <t>Student: NAMUDDU VIVIAN LUKWAGO</t>
        </is>
      </c>
    </row>
    <row r="3">
      <c r="A3" t="inlineStr">
        <is>
          <t>Registration No.: S25B13/019</t>
        </is>
      </c>
    </row>
    <row r="4"/>
    <row r="5">
      <c r="A5" s="2" t="inlineStr">
        <is>
          <t>Date</t>
        </is>
      </c>
      <c r="B5" s="2" t="inlineStr">
        <is>
          <t>Doc. No.</t>
        </is>
      </c>
      <c r="C5" s="2" t="inlineStr">
        <is>
          <t>Particulars</t>
        </is>
      </c>
      <c r="D5" s="2" t="inlineStr">
        <is>
          <t>Debit (UGX)</t>
        </is>
      </c>
      <c r="E5" s="2" t="inlineStr">
        <is>
          <t>Credit (UGX)</t>
        </is>
      </c>
    </row>
    <row r="6">
      <c r="A6" s="3" t="inlineStr">
        <is>
          <t>3-Jul-2026</t>
        </is>
      </c>
      <c r="B6" s="3" t="inlineStr">
        <is>
          <t>Inv. 101</t>
        </is>
      </c>
      <c r="C6" s="3" t="inlineStr">
        <is>
          <t>Accounts Receivable — Wamala Schools Ltd (Sales)</t>
        </is>
      </c>
      <c r="D6" s="4" t="n">
        <v>1800000</v>
      </c>
      <c r="E6" s="3" t="inlineStr"/>
    </row>
    <row r="7">
      <c r="A7" s="3" t="inlineStr">
        <is>
          <t>3-Jul-2026</t>
        </is>
      </c>
      <c r="B7" s="3" t="inlineStr">
        <is>
          <t>Inv. 101</t>
        </is>
      </c>
      <c r="C7" s="3" t="inlineStr">
        <is>
          <t>Sales</t>
        </is>
      </c>
      <c r="D7" s="3" t="inlineStr"/>
      <c r="E7" s="3" t="inlineStr">
        <is>
          <t>1800000</t>
        </is>
      </c>
    </row>
    <row r="8">
      <c r="A8" s="3" t="inlineStr">
        <is>
          <t>6-Jul-2026</t>
        </is>
      </c>
      <c r="B8" s="3" t="inlineStr">
        <is>
          <t>Inv. 102</t>
        </is>
      </c>
      <c r="C8" s="3" t="inlineStr">
        <is>
          <t>Accounts Receivable — Akello Trading (Sales)</t>
        </is>
      </c>
      <c r="D8" s="4" t="n">
        <v>950000</v>
      </c>
      <c r="E8" s="3" t="inlineStr"/>
    </row>
    <row r="9">
      <c r="A9" s="3" t="inlineStr">
        <is>
          <t>6-Jul-2026</t>
        </is>
      </c>
      <c r="B9" s="3" t="inlineStr">
        <is>
          <t>Inv. 102</t>
        </is>
      </c>
      <c r="C9" s="3" t="inlineStr">
        <is>
          <t>Sales</t>
        </is>
      </c>
      <c r="D9" s="3" t="inlineStr"/>
      <c r="E9" s="3" t="inlineStr">
        <is>
          <t>950000</t>
        </is>
      </c>
    </row>
    <row r="10">
      <c r="A10" s="3" t="inlineStr">
        <is>
          <t>10-Jul-2026</t>
        </is>
      </c>
      <c r="B10" s="3" t="inlineStr">
        <is>
          <t>Inv. 103</t>
        </is>
      </c>
      <c r="C10" s="3" t="inlineStr">
        <is>
          <t>Accounts Receivable — Kisakye &amp; Sons (Service Revenue)</t>
        </is>
      </c>
      <c r="D10" s="4" t="n">
        <v>600000</v>
      </c>
      <c r="E10" s="3" t="inlineStr"/>
    </row>
    <row r="11">
      <c r="A11" s="3" t="inlineStr">
        <is>
          <t>10-Jul-2026</t>
        </is>
      </c>
      <c r="B11" s="3" t="inlineStr">
        <is>
          <t>Inv. 103</t>
        </is>
      </c>
      <c r="C11" s="3" t="inlineStr">
        <is>
          <t>Service Revenue</t>
        </is>
      </c>
      <c r="D11" s="3" t="inlineStr"/>
      <c r="E11" s="3" t="inlineStr">
        <is>
          <t>600000</t>
        </is>
      </c>
    </row>
    <row r="12">
      <c r="A12" s="3" t="inlineStr">
        <is>
          <t>18-Jul-2026</t>
        </is>
      </c>
      <c r="B12" s="3" t="inlineStr">
        <is>
          <t>Inv. 104</t>
        </is>
      </c>
      <c r="C12" s="3" t="inlineStr">
        <is>
          <t>Accounts Receivable — Akello Trading (Sales)</t>
        </is>
      </c>
      <c r="D12" s="4" t="n">
        <v>1400000</v>
      </c>
      <c r="E12" s="3" t="inlineStr"/>
    </row>
    <row r="13">
      <c r="A13" s="3" t="inlineStr">
        <is>
          <t>18-Jul-2026</t>
        </is>
      </c>
      <c r="B13" s="3" t="inlineStr">
        <is>
          <t>Inv. 104</t>
        </is>
      </c>
      <c r="C13" s="3" t="inlineStr">
        <is>
          <t>Sales</t>
        </is>
      </c>
      <c r="D13" s="3" t="inlineStr"/>
      <c r="E13" s="3" t="inlineStr">
        <is>
          <t>1400000</t>
        </is>
      </c>
    </row>
    <row r="14">
      <c r="A14" s="3" t="inlineStr"/>
      <c r="B14" s="3" t="inlineStr"/>
      <c r="C14" s="5" t="inlineStr">
        <is>
          <t>TOTAL</t>
        </is>
      </c>
      <c r="D14" s="3">
        <f>SUM(D6:D13)</f>
        <v/>
      </c>
      <c r="E14" s="3">
        <f>SUM(E6:E13)</f>
        <v/>
      </c>
    </row>
    <row r="15">
      <c r="A15" s="3" t="inlineStr"/>
      <c r="B15" s="3" t="inlineStr"/>
      <c r="C15" s="5" t="inlineStr">
        <is>
          <t>Balanced?</t>
        </is>
      </c>
      <c r="D15" s="3">
        <f>IF(D14=E14,"Balanced","Check entry")</f>
        <v/>
      </c>
      <c r="E15" s="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3"/>
  <sheetViews>
    <sheetView showGridLines="0" workbookViewId="0">
      <pane ySplit="5" topLeftCell="A6" activePane="bottomLeft" state="frozen"/>
      <selection pane="bottomLeft" activeCell="A1" sqref="A1"/>
    </sheetView>
  </sheetViews>
  <sheetFormatPr baseColWidth="8" defaultRowHeight="15"/>
  <cols>
    <col width="16" customWidth="1" min="1" max="1"/>
    <col width="14" customWidth="1" min="2" max="2"/>
    <col width="52" customWidth="1" min="3" max="3"/>
    <col width="18" customWidth="1" min="4" max="4"/>
    <col width="18" customWidth="1" min="5" max="5"/>
  </cols>
  <sheetData>
    <row r="1">
      <c r="A1" s="1" t="inlineStr">
        <is>
          <t>Purchases Journal — July 2026</t>
        </is>
      </c>
    </row>
    <row r="2">
      <c r="A2" t="inlineStr">
        <is>
          <t>Student: NAMUDDU VIVIAN LUKWAGO</t>
        </is>
      </c>
    </row>
    <row r="3">
      <c r="A3" t="inlineStr">
        <is>
          <t>Registration No.: S25B13/019</t>
        </is>
      </c>
    </row>
    <row r="4"/>
    <row r="5">
      <c r="A5" s="2" t="inlineStr">
        <is>
          <t>Date</t>
        </is>
      </c>
      <c r="B5" s="2" t="inlineStr">
        <is>
          <t>Doc. No.</t>
        </is>
      </c>
      <c r="C5" s="2" t="inlineStr">
        <is>
          <t>Particulars</t>
        </is>
      </c>
      <c r="D5" s="2" t="inlineStr">
        <is>
          <t>Debit (UGX)</t>
        </is>
      </c>
      <c r="E5" s="2" t="inlineStr">
        <is>
          <t>Credit (UGX)</t>
        </is>
      </c>
    </row>
    <row r="6">
      <c r="A6" s="3" t="inlineStr">
        <is>
          <t>4-Jul-2026</t>
        </is>
      </c>
      <c r="B6" s="3" t="inlineStr">
        <is>
          <t>Inv. P-201</t>
        </is>
      </c>
      <c r="C6" s="3" t="inlineStr">
        <is>
          <t>Purchases</t>
        </is>
      </c>
      <c r="D6" s="4" t="n">
        <v>2400000</v>
      </c>
      <c r="E6" s="3" t="inlineStr"/>
    </row>
    <row r="7">
      <c r="A7" s="3" t="inlineStr">
        <is>
          <t>4-Jul-2026</t>
        </is>
      </c>
      <c r="B7" s="3" t="inlineStr">
        <is>
          <t>Inv. P-201</t>
        </is>
      </c>
      <c r="C7" s="3" t="inlineStr">
        <is>
          <t>Accounts Payable — Pearl Wholesalers</t>
        </is>
      </c>
      <c r="D7" s="3" t="inlineStr"/>
      <c r="E7" s="3" t="inlineStr">
        <is>
          <t>2400000</t>
        </is>
      </c>
    </row>
    <row r="8">
      <c r="A8" s="3" t="inlineStr">
        <is>
          <t>8-Jul-2026</t>
        </is>
      </c>
      <c r="B8" s="3" t="inlineStr">
        <is>
          <t>Inv. P-202</t>
        </is>
      </c>
      <c r="C8" s="3" t="inlineStr">
        <is>
          <t>Purchases</t>
        </is>
      </c>
      <c r="D8" s="4" t="n">
        <v>780000</v>
      </c>
      <c r="E8" s="3" t="inlineStr"/>
    </row>
    <row r="9">
      <c r="A9" s="3" t="inlineStr">
        <is>
          <t>8-Jul-2026</t>
        </is>
      </c>
      <c r="B9" s="3" t="inlineStr">
        <is>
          <t>Inv. P-202</t>
        </is>
      </c>
      <c r="C9" s="3" t="inlineStr">
        <is>
          <t>Accounts Payable — Nakawa Paper Mills</t>
        </is>
      </c>
      <c r="D9" s="3" t="inlineStr"/>
      <c r="E9" s="3" t="inlineStr">
        <is>
          <t>780000</t>
        </is>
      </c>
    </row>
    <row r="10">
      <c r="A10" s="3" t="inlineStr">
        <is>
          <t>20-Jul-2026</t>
        </is>
      </c>
      <c r="B10" s="3" t="inlineStr">
        <is>
          <t>Inv. P-203</t>
        </is>
      </c>
      <c r="C10" s="3" t="inlineStr">
        <is>
          <t>Purchases</t>
        </is>
      </c>
      <c r="D10" s="4" t="n">
        <v>1150000</v>
      </c>
      <c r="E10" s="3" t="inlineStr"/>
    </row>
    <row r="11">
      <c r="A11" s="3" t="inlineStr">
        <is>
          <t>20-Jul-2026</t>
        </is>
      </c>
      <c r="B11" s="3" t="inlineStr">
        <is>
          <t>Inv. P-203</t>
        </is>
      </c>
      <c r="C11" s="3" t="inlineStr">
        <is>
          <t>Accounts Payable — Pearl Wholesalers</t>
        </is>
      </c>
      <c r="D11" s="3" t="inlineStr"/>
      <c r="E11" s="3" t="inlineStr">
        <is>
          <t>1150000</t>
        </is>
      </c>
    </row>
    <row r="12">
      <c r="A12" s="3" t="inlineStr"/>
      <c r="B12" s="3" t="inlineStr"/>
      <c r="C12" s="5" t="inlineStr">
        <is>
          <t>TOTAL</t>
        </is>
      </c>
      <c r="D12" s="3">
        <f>SUM(D6:D11)</f>
        <v/>
      </c>
      <c r="E12" s="3">
        <f>SUM(E6:E11)</f>
        <v/>
      </c>
    </row>
    <row r="13">
      <c r="A13" s="3" t="inlineStr"/>
      <c r="B13" s="3" t="inlineStr"/>
      <c r="C13" s="5" t="inlineStr">
        <is>
          <t>Balanced?</t>
        </is>
      </c>
      <c r="D13" s="3">
        <f>IF(D12=E12,"Balanced","Check entry")</f>
        <v/>
      </c>
      <c r="E13" s="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3"/>
  <sheetViews>
    <sheetView showGridLines="0" workbookViewId="0">
      <pane ySplit="5" topLeftCell="A6" activePane="bottomLeft" state="frozen"/>
      <selection pane="bottomLeft" activeCell="A1" sqref="A1"/>
    </sheetView>
  </sheetViews>
  <sheetFormatPr baseColWidth="8" defaultRowHeight="15"/>
  <cols>
    <col width="16" customWidth="1" min="1" max="1"/>
    <col width="14" customWidth="1" min="2" max="2"/>
    <col width="52" customWidth="1" min="3" max="3"/>
    <col width="18" customWidth="1" min="4" max="4"/>
    <col width="18" customWidth="1" min="5" max="5"/>
  </cols>
  <sheetData>
    <row r="1">
      <c r="A1" s="1" t="inlineStr">
        <is>
          <t>Returns Journal — July 2026</t>
        </is>
      </c>
    </row>
    <row r="2">
      <c r="A2" t="inlineStr">
        <is>
          <t>Student: NAMUDDU VIVIAN LUKWAGO</t>
        </is>
      </c>
    </row>
    <row r="3">
      <c r="A3" t="inlineStr">
        <is>
          <t>Registration No.: S25B13/019</t>
        </is>
      </c>
    </row>
    <row r="4"/>
    <row r="5">
      <c r="A5" s="2" t="inlineStr">
        <is>
          <t>Date</t>
        </is>
      </c>
      <c r="B5" s="2" t="inlineStr">
        <is>
          <t>Doc. No.</t>
        </is>
      </c>
      <c r="C5" s="2" t="inlineStr">
        <is>
          <t>Particulars</t>
        </is>
      </c>
      <c r="D5" s="2" t="inlineStr">
        <is>
          <t>Debit (UGX)</t>
        </is>
      </c>
      <c r="E5" s="2" t="inlineStr">
        <is>
          <t>Credit (UGX)</t>
        </is>
      </c>
    </row>
    <row r="6">
      <c r="A6" s="3" t="inlineStr">
        <is>
          <t>12-Jul-2026</t>
        </is>
      </c>
      <c r="B6" s="3" t="inlineStr">
        <is>
          <t>CN 010</t>
        </is>
      </c>
      <c r="C6" s="3" t="inlineStr">
        <is>
          <t>Returns Inward — Wamala Schools Ltd</t>
        </is>
      </c>
      <c r="D6" s="4" t="n">
        <v>250000</v>
      </c>
      <c r="E6" s="3" t="inlineStr"/>
    </row>
    <row r="7">
      <c r="A7" s="3" t="inlineStr">
        <is>
          <t>12-Jul-2026</t>
        </is>
      </c>
      <c r="B7" s="3" t="inlineStr">
        <is>
          <t>CN 010</t>
        </is>
      </c>
      <c r="C7" s="3" t="inlineStr">
        <is>
          <t>Accounts Receivable — Wamala Schools Ltd</t>
        </is>
      </c>
      <c r="D7" s="3" t="inlineStr"/>
      <c r="E7" s="3" t="inlineStr">
        <is>
          <t>250000</t>
        </is>
      </c>
    </row>
    <row r="8">
      <c r="A8" s="3" t="inlineStr">
        <is>
          <t>15-Jul-2026</t>
        </is>
      </c>
      <c r="B8" s="3" t="inlineStr">
        <is>
          <t>DN 006</t>
        </is>
      </c>
      <c r="C8" s="3" t="inlineStr">
        <is>
          <t>Accounts Payable — Pearl Wholesalers</t>
        </is>
      </c>
      <c r="D8" s="4" t="n">
        <v>300000</v>
      </c>
      <c r="E8" s="3" t="inlineStr"/>
    </row>
    <row r="9">
      <c r="A9" s="3" t="inlineStr">
        <is>
          <t>15-Jul-2026</t>
        </is>
      </c>
      <c r="B9" s="3" t="inlineStr">
        <is>
          <t>DN 006</t>
        </is>
      </c>
      <c r="C9" s="3" t="inlineStr">
        <is>
          <t>Returns Outward — Pearl Wholesalers</t>
        </is>
      </c>
      <c r="D9" s="3" t="inlineStr"/>
      <c r="E9" s="3" t="inlineStr">
        <is>
          <t>300000</t>
        </is>
      </c>
    </row>
    <row r="10">
      <c r="A10" s="3" t="inlineStr">
        <is>
          <t>25-Jul-2026</t>
        </is>
      </c>
      <c r="B10" s="3" t="inlineStr">
        <is>
          <t>CN 011</t>
        </is>
      </c>
      <c r="C10" s="3" t="inlineStr">
        <is>
          <t>Returns Inward — Akello Trading</t>
        </is>
      </c>
      <c r="D10" s="4" t="n">
        <v>200000</v>
      </c>
      <c r="E10" s="3" t="inlineStr"/>
    </row>
    <row r="11">
      <c r="A11" s="3" t="inlineStr">
        <is>
          <t>25-Jul-2026</t>
        </is>
      </c>
      <c r="B11" s="3" t="inlineStr">
        <is>
          <t>CN 011</t>
        </is>
      </c>
      <c r="C11" s="3" t="inlineStr">
        <is>
          <t>Accounts Receivable — Akello Trading</t>
        </is>
      </c>
      <c r="D11" s="3" t="inlineStr"/>
      <c r="E11" s="3" t="inlineStr">
        <is>
          <t>200000</t>
        </is>
      </c>
    </row>
    <row r="12">
      <c r="A12" s="3" t="inlineStr"/>
      <c r="B12" s="3" t="inlineStr"/>
      <c r="C12" s="5" t="inlineStr">
        <is>
          <t>TOTAL</t>
        </is>
      </c>
      <c r="D12" s="3">
        <f>SUM(D6:D11)</f>
        <v/>
      </c>
      <c r="E12" s="3">
        <f>SUM(E6:E11)</f>
        <v/>
      </c>
    </row>
    <row r="13">
      <c r="A13" s="3" t="inlineStr"/>
      <c r="B13" s="3" t="inlineStr"/>
      <c r="C13" s="5" t="inlineStr">
        <is>
          <t>Balanced?</t>
        </is>
      </c>
      <c r="D13" s="3">
        <f>IF(D12=E12,"Balanced","Check entry")</f>
        <v/>
      </c>
      <c r="E13" s="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2"/>
  <sheetViews>
    <sheetView showGridLines="0" workbookViewId="0">
      <pane ySplit="5" topLeftCell="A6" activePane="bottomLeft" state="frozen"/>
      <selection pane="bottomLeft" activeCell="A1" sqref="A1"/>
    </sheetView>
  </sheetViews>
  <sheetFormatPr baseColWidth="8" defaultRowHeight="15"/>
  <cols>
    <col width="7" customWidth="1" min="1" max="1"/>
    <col width="34" customWidth="1" min="2" max="2"/>
    <col width="14" customWidth="1" min="3" max="3"/>
    <col width="20" customWidth="1" min="4" max="4"/>
    <col width="38" customWidth="1" min="5" max="5"/>
    <col width="14" customWidth="1" min="6" max="6"/>
    <col width="20" customWidth="1" min="7" max="7"/>
    <col width="25" customWidth="1" min="8" max="8"/>
  </cols>
  <sheetData>
    <row r="1">
      <c r="A1" s="1" t="inlineStr">
        <is>
          <t>Task 1 Analysis — July 2026</t>
        </is>
      </c>
    </row>
    <row r="2">
      <c r="A2" t="inlineStr">
        <is>
          <t>Student: NAMUDDU VIVIAN LUKWAGO</t>
        </is>
      </c>
    </row>
    <row r="3">
      <c r="A3" t="inlineStr">
        <is>
          <t>Registration No.: S25B13/019</t>
        </is>
      </c>
    </row>
    <row r="4"/>
    <row r="5">
      <c r="A5" s="2" t="inlineStr">
        <is>
          <t>No.</t>
        </is>
      </c>
      <c r="B5" s="2" t="inlineStr">
        <is>
          <t>Account debited</t>
        </is>
      </c>
      <c r="C5" s="2" t="inlineStr">
        <is>
          <t>Class</t>
        </is>
      </c>
      <c r="D5" s="2" t="inlineStr">
        <is>
          <t>Increases/Decreases</t>
        </is>
      </c>
      <c r="E5" s="2" t="inlineStr">
        <is>
          <t>Account credited</t>
        </is>
      </c>
      <c r="F5" s="2" t="inlineStr">
        <is>
          <t>Class</t>
        </is>
      </c>
      <c r="G5" s="2" t="inlineStr">
        <is>
          <t>Increases/Decreases</t>
        </is>
      </c>
      <c r="H5" s="2" t="inlineStr">
        <is>
          <t>Book of original entry</t>
        </is>
      </c>
    </row>
    <row r="6">
      <c r="A6" s="4" t="n">
        <v>1</v>
      </c>
      <c r="B6" s="3" t="inlineStr">
        <is>
          <t>Cash; Office Computers &amp; Furniture</t>
        </is>
      </c>
      <c r="C6" s="3" t="inlineStr">
        <is>
          <t>Real</t>
        </is>
      </c>
      <c r="D6" s="3" t="inlineStr">
        <is>
          <t>Increase; Increase</t>
        </is>
      </c>
      <c r="E6" s="3" t="inlineStr">
        <is>
          <t>Capital</t>
        </is>
      </c>
      <c r="F6" s="3" t="inlineStr">
        <is>
          <t>Personal</t>
        </is>
      </c>
      <c r="G6" s="3" t="inlineStr">
        <is>
          <t>Increase</t>
        </is>
      </c>
      <c r="H6" s="3" t="inlineStr">
        <is>
          <t>General Journal</t>
        </is>
      </c>
    </row>
    <row r="7">
      <c r="A7" s="4" t="n">
        <v>2</v>
      </c>
      <c r="B7" s="3" t="inlineStr">
        <is>
          <t>Accounts Receivable — Wamala Schools Ltd</t>
        </is>
      </c>
      <c r="C7" s="3" t="inlineStr">
        <is>
          <t>Personal</t>
        </is>
      </c>
      <c r="D7" s="3" t="inlineStr">
        <is>
          <t>Increase</t>
        </is>
      </c>
      <c r="E7" s="3" t="inlineStr">
        <is>
          <t>Sales</t>
        </is>
      </c>
      <c r="F7" s="3" t="inlineStr">
        <is>
          <t>Nominal</t>
        </is>
      </c>
      <c r="G7" s="3" t="inlineStr">
        <is>
          <t>Increase</t>
        </is>
      </c>
      <c r="H7" s="3" t="inlineStr">
        <is>
          <t>Sales Journal</t>
        </is>
      </c>
    </row>
    <row r="8">
      <c r="A8" s="4" t="n">
        <v>3</v>
      </c>
      <c r="B8" s="3" t="inlineStr">
        <is>
          <t>Purchases</t>
        </is>
      </c>
      <c r="C8" s="3" t="inlineStr">
        <is>
          <t>Nominal</t>
        </is>
      </c>
      <c r="D8" s="3" t="inlineStr">
        <is>
          <t>Increase</t>
        </is>
      </c>
      <c r="E8" s="3" t="inlineStr">
        <is>
          <t>Accounts Payable — Pearl Wholesalers</t>
        </is>
      </c>
      <c r="F8" s="3" t="inlineStr">
        <is>
          <t>Personal</t>
        </is>
      </c>
      <c r="G8" s="3" t="inlineStr">
        <is>
          <t>Increase</t>
        </is>
      </c>
      <c r="H8" s="3" t="inlineStr">
        <is>
          <t>Purchases Journal</t>
        </is>
      </c>
    </row>
    <row r="9">
      <c r="A9" s="4" t="n">
        <v>4</v>
      </c>
      <c r="B9" s="3" t="inlineStr">
        <is>
          <t>Accounts Receivable — Akello Trading</t>
        </is>
      </c>
      <c r="C9" s="3" t="inlineStr">
        <is>
          <t>Personal</t>
        </is>
      </c>
      <c r="D9" s="3" t="inlineStr">
        <is>
          <t>Increase</t>
        </is>
      </c>
      <c r="E9" s="3" t="inlineStr">
        <is>
          <t>Sales</t>
        </is>
      </c>
      <c r="F9" s="3" t="inlineStr">
        <is>
          <t>Nominal</t>
        </is>
      </c>
      <c r="G9" s="3" t="inlineStr">
        <is>
          <t>Increase</t>
        </is>
      </c>
      <c r="H9" s="3" t="inlineStr">
        <is>
          <t>Sales Journal</t>
        </is>
      </c>
    </row>
    <row r="10">
      <c r="A10" s="4" t="n">
        <v>5</v>
      </c>
      <c r="B10" s="3" t="inlineStr">
        <is>
          <t>Purchases</t>
        </is>
      </c>
      <c r="C10" s="3" t="inlineStr">
        <is>
          <t>Nominal</t>
        </is>
      </c>
      <c r="D10" s="3" t="inlineStr">
        <is>
          <t>Increase</t>
        </is>
      </c>
      <c r="E10" s="3" t="inlineStr">
        <is>
          <t>Accounts Payable — Nakawa Paper Mills</t>
        </is>
      </c>
      <c r="F10" s="3" t="inlineStr">
        <is>
          <t>Personal</t>
        </is>
      </c>
      <c r="G10" s="3" t="inlineStr">
        <is>
          <t>Increase</t>
        </is>
      </c>
      <c r="H10" s="3" t="inlineStr">
        <is>
          <t>Purchases Journal</t>
        </is>
      </c>
    </row>
    <row r="11">
      <c r="A11" s="4" t="n">
        <v>6</v>
      </c>
      <c r="B11" s="3" t="inlineStr">
        <is>
          <t>Accounts Receivable — Kisakye &amp; Sons</t>
        </is>
      </c>
      <c r="C11" s="3" t="inlineStr">
        <is>
          <t>Personal</t>
        </is>
      </c>
      <c r="D11" s="3" t="inlineStr">
        <is>
          <t>Increase</t>
        </is>
      </c>
      <c r="E11" s="3" t="inlineStr">
        <is>
          <t>Service Revenue</t>
        </is>
      </c>
      <c r="F11" s="3" t="inlineStr">
        <is>
          <t>Nominal</t>
        </is>
      </c>
      <c r="G11" s="3" t="inlineStr">
        <is>
          <t>Increase</t>
        </is>
      </c>
      <c r="H11" s="3" t="inlineStr">
        <is>
          <t>Sales Journal</t>
        </is>
      </c>
    </row>
    <row r="12">
      <c r="A12" s="4" t="n">
        <v>7</v>
      </c>
      <c r="B12" s="3" t="inlineStr">
        <is>
          <t>Returns Inward</t>
        </is>
      </c>
      <c r="C12" s="3" t="inlineStr">
        <is>
          <t>Nominal</t>
        </is>
      </c>
      <c r="D12" s="3" t="inlineStr">
        <is>
          <t>Increase</t>
        </is>
      </c>
      <c r="E12" s="3" t="inlineStr">
        <is>
          <t>Accounts Receivable — Wamala Schools Ltd</t>
        </is>
      </c>
      <c r="F12" s="3" t="inlineStr">
        <is>
          <t>Personal</t>
        </is>
      </c>
      <c r="G12" s="3" t="inlineStr">
        <is>
          <t>Decrease</t>
        </is>
      </c>
      <c r="H12" s="3" t="inlineStr">
        <is>
          <t>Returns Journal</t>
        </is>
      </c>
    </row>
    <row r="13">
      <c r="A13" s="4" t="n">
        <v>8</v>
      </c>
      <c r="B13" s="3" t="inlineStr">
        <is>
          <t>Laminating Machine</t>
        </is>
      </c>
      <c r="C13" s="3" t="inlineStr">
        <is>
          <t>Real</t>
        </is>
      </c>
      <c r="D13" s="3" t="inlineStr">
        <is>
          <t>Increase</t>
        </is>
      </c>
      <c r="E13" s="3" t="inlineStr">
        <is>
          <t>Accounts Payable — Lakeside Machines Ltd</t>
        </is>
      </c>
      <c r="F13" s="3" t="inlineStr">
        <is>
          <t>Personal</t>
        </is>
      </c>
      <c r="G13" s="3" t="inlineStr">
        <is>
          <t>Increase</t>
        </is>
      </c>
      <c r="H13" s="3" t="inlineStr">
        <is>
          <t>General Journal</t>
        </is>
      </c>
    </row>
    <row r="14">
      <c r="A14" s="4" t="n">
        <v>9</v>
      </c>
      <c r="B14" s="3" t="inlineStr">
        <is>
          <t>Accounts Payable — Pearl Wholesalers</t>
        </is>
      </c>
      <c r="C14" s="3" t="inlineStr">
        <is>
          <t>Personal</t>
        </is>
      </c>
      <c r="D14" s="3" t="inlineStr">
        <is>
          <t>Decrease</t>
        </is>
      </c>
      <c r="E14" s="3" t="inlineStr">
        <is>
          <t>Returns Outward</t>
        </is>
      </c>
      <c r="F14" s="3" t="inlineStr">
        <is>
          <t>Nominal</t>
        </is>
      </c>
      <c r="G14" s="3" t="inlineStr">
        <is>
          <t>Increase</t>
        </is>
      </c>
      <c r="H14" s="3" t="inlineStr">
        <is>
          <t>Returns Journal</t>
        </is>
      </c>
    </row>
    <row r="15">
      <c r="A15" s="4" t="n">
        <v>10</v>
      </c>
      <c r="B15" s="3" t="inlineStr">
        <is>
          <t>Accounts Receivable — Akello Trading</t>
        </is>
      </c>
      <c r="C15" s="3" t="inlineStr">
        <is>
          <t>Personal</t>
        </is>
      </c>
      <c r="D15" s="3" t="inlineStr">
        <is>
          <t>Increase</t>
        </is>
      </c>
      <c r="E15" s="3" t="inlineStr">
        <is>
          <t>Sales</t>
        </is>
      </c>
      <c r="F15" s="3" t="inlineStr">
        <is>
          <t>Nominal</t>
        </is>
      </c>
      <c r="G15" s="3" t="inlineStr">
        <is>
          <t>Increase</t>
        </is>
      </c>
      <c r="H15" s="3" t="inlineStr">
        <is>
          <t>Sales Journal</t>
        </is>
      </c>
    </row>
    <row r="16">
      <c r="A16" s="4" t="n">
        <v>11</v>
      </c>
      <c r="B16" s="3" t="inlineStr">
        <is>
          <t>Purchases</t>
        </is>
      </c>
      <c r="C16" s="3" t="inlineStr">
        <is>
          <t>Nominal</t>
        </is>
      </c>
      <c r="D16" s="3" t="inlineStr">
        <is>
          <t>Increase</t>
        </is>
      </c>
      <c r="E16" s="3" t="inlineStr">
        <is>
          <t>Accounts Payable — Pearl Wholesalers</t>
        </is>
      </c>
      <c r="F16" s="3" t="inlineStr">
        <is>
          <t>Personal</t>
        </is>
      </c>
      <c r="G16" s="3" t="inlineStr">
        <is>
          <t>Increase</t>
        </is>
      </c>
      <c r="H16" s="3" t="inlineStr">
        <is>
          <t>Purchases Journal</t>
        </is>
      </c>
    </row>
    <row r="17">
      <c r="A17" s="4" t="n">
        <v>12</v>
      </c>
      <c r="B17" s="3" t="inlineStr">
        <is>
          <t>Printer</t>
        </is>
      </c>
      <c r="C17" s="3" t="inlineStr">
        <is>
          <t>Real</t>
        </is>
      </c>
      <c r="D17" s="3" t="inlineStr">
        <is>
          <t>Increase</t>
        </is>
      </c>
      <c r="E17" s="3" t="inlineStr">
        <is>
          <t>Capital</t>
        </is>
      </c>
      <c r="F17" s="3" t="inlineStr">
        <is>
          <t>Personal</t>
        </is>
      </c>
      <c r="G17" s="3" t="inlineStr">
        <is>
          <t>Increase</t>
        </is>
      </c>
      <c r="H17" s="3" t="inlineStr">
        <is>
          <t>General Journal</t>
        </is>
      </c>
    </row>
    <row r="18">
      <c r="A18" s="4" t="n">
        <v>13</v>
      </c>
      <c r="B18" s="3" t="inlineStr">
        <is>
          <t>Returns Inward</t>
        </is>
      </c>
      <c r="C18" s="3" t="inlineStr">
        <is>
          <t>Nominal</t>
        </is>
      </c>
      <c r="D18" s="3" t="inlineStr">
        <is>
          <t>Increase</t>
        </is>
      </c>
      <c r="E18" s="3" t="inlineStr">
        <is>
          <t>Accounts Receivable — Akello Trading</t>
        </is>
      </c>
      <c r="F18" s="3" t="inlineStr">
        <is>
          <t>Personal</t>
        </is>
      </c>
      <c r="G18" s="3" t="inlineStr">
        <is>
          <t>Decrease</t>
        </is>
      </c>
      <c r="H18" s="3" t="inlineStr">
        <is>
          <t>Returns Journal</t>
        </is>
      </c>
    </row>
    <row r="19">
      <c r="A19" s="4" t="n">
        <v>14</v>
      </c>
      <c r="B19" s="3" t="inlineStr">
        <is>
          <t>Transport Expense</t>
        </is>
      </c>
      <c r="C19" s="3" t="inlineStr">
        <is>
          <t>Nominal</t>
        </is>
      </c>
      <c r="D19" s="3" t="inlineStr">
        <is>
          <t>Increase</t>
        </is>
      </c>
      <c r="E19" s="3" t="inlineStr">
        <is>
          <t>Rent Expense</t>
        </is>
      </c>
      <c r="F19" s="3" t="inlineStr">
        <is>
          <t>Nominal</t>
        </is>
      </c>
      <c r="G19" s="3" t="inlineStr">
        <is>
          <t>Decrease</t>
        </is>
      </c>
      <c r="H19" s="3" t="inlineStr">
        <is>
          <t>General Journal</t>
        </is>
      </c>
    </row>
    <row r="22">
      <c r="A22" s="6" t="inlineStr">
        <is>
          <t>Source: UCU Fundamentals of Accounting Competency 3 Milestone brief.</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5"/>
  <sheetViews>
    <sheetView showGridLines="0" workbookViewId="0">
      <pane ySplit="5" topLeftCell="A6" activePane="bottomLeft" state="frozen"/>
      <selection pane="bottomLeft" activeCell="A1" sqref="A1"/>
    </sheetView>
  </sheetViews>
  <sheetFormatPr baseColWidth="8" defaultRowHeight="15"/>
  <cols>
    <col width="40" customWidth="1" min="1" max="1"/>
    <col width="20" customWidth="1" min="2" max="2"/>
  </cols>
  <sheetData>
    <row r="1">
      <c r="A1" s="1" t="inlineStr">
        <is>
          <t>Summary — July 2026</t>
        </is>
      </c>
    </row>
    <row r="2">
      <c r="A2" t="inlineStr">
        <is>
          <t>Student: NAMUDDU VIVIAN LUKWAGO</t>
        </is>
      </c>
    </row>
    <row r="3">
      <c r="A3" t="inlineStr">
        <is>
          <t>Registration No.: S25B13/019</t>
        </is>
      </c>
    </row>
    <row r="4"/>
    <row r="5">
      <c r="A5" s="2" t="inlineStr">
        <is>
          <t>Item</t>
        </is>
      </c>
      <c r="B5" s="2" t="inlineStr">
        <is>
          <t>Amount (UGX)</t>
        </is>
      </c>
    </row>
    <row r="6">
      <c r="A6" s="3" t="inlineStr">
        <is>
          <t>Total credit sales</t>
        </is>
      </c>
      <c r="B6" s="4">
        <f>'Sales Journal'!D14</f>
        <v/>
      </c>
    </row>
    <row r="7">
      <c r="A7" s="3" t="inlineStr">
        <is>
          <t>Less: returns inward</t>
        </is>
      </c>
      <c r="B7" s="4">
        <f>'Returns Journal'!D12-('Returns Journal'!D12-450000)</f>
        <v/>
      </c>
    </row>
    <row r="8">
      <c r="A8" s="3" t="inlineStr">
        <is>
          <t>Net sales</t>
        </is>
      </c>
      <c r="B8" s="4">
        <f>B6-B7</f>
        <v/>
      </c>
    </row>
    <row r="9">
      <c r="A9" s="3" t="inlineStr">
        <is>
          <t>Total credit purchases</t>
        </is>
      </c>
      <c r="B9" s="4">
        <f>'Purchases Journal'!D12</f>
        <v/>
      </c>
    </row>
    <row r="10">
      <c r="A10" s="3" t="inlineStr">
        <is>
          <t>Less: returns outward</t>
        </is>
      </c>
      <c r="B10" s="4">
        <f>'Returns Journal'!D12-450000</f>
        <v/>
      </c>
    </row>
    <row r="11">
      <c r="A11" s="3" t="inlineStr">
        <is>
          <t>Net purchases</t>
        </is>
      </c>
      <c r="B11" s="4">
        <f>B9-B10</f>
        <v/>
      </c>
    </row>
    <row r="12">
      <c r="A12" s="3" t="n"/>
      <c r="B12" s="3" t="n"/>
    </row>
    <row r="13">
      <c r="A13" s="7" t="inlineStr">
        <is>
          <t>If a journal showed “Check entry”, I would review the July entries, compare the debit and credit amounts with the source documents, correct the error, and recalculate the formula before submitting.</t>
        </is>
      </c>
    </row>
    <row r="14"/>
    <row r="15"/>
  </sheetData>
  <mergeCells count="1">
    <mergeCell ref="A13:B15"/>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8"/>
  <sheetViews>
    <sheetView showGridLines="0" workbookViewId="0">
      <pane ySplit="5" topLeftCell="A6" activePane="bottomLeft" state="frozen"/>
      <selection pane="bottomLeft" activeCell="A1" sqref="A1"/>
    </sheetView>
  </sheetViews>
  <sheetFormatPr baseColWidth="8" defaultRowHeight="15"/>
  <cols>
    <col width="8" customWidth="1" min="1" max="1"/>
    <col width="18" customWidth="1" min="2" max="2"/>
    <col width="16" customWidth="1" min="3" max="3"/>
    <col width="14" customWidth="1" min="4" max="4"/>
    <col width="38" customWidth="1" min="5" max="5"/>
    <col width="48" customWidth="1" min="6" max="6"/>
    <col width="48" customWidth="1" min="7" max="7"/>
    <col width="22" customWidth="1" min="8" max="8"/>
  </cols>
  <sheetData>
    <row r="1">
      <c r="A1" s="1" t="inlineStr">
        <is>
          <t>Task 4 Errors — July 2026</t>
        </is>
      </c>
    </row>
    <row r="2">
      <c r="A2" t="inlineStr">
        <is>
          <t>Student: NAMUDDU VIVIAN LUKWAGO</t>
        </is>
      </c>
    </row>
    <row r="3">
      <c r="A3" t="inlineStr">
        <is>
          <t>Registration No.: S25B13/019</t>
        </is>
      </c>
    </row>
    <row r="4"/>
    <row r="5">
      <c r="A5" s="2" t="inlineStr">
        <is>
          <t>Ref</t>
        </is>
      </c>
      <c r="B5" s="2" t="inlineStr">
        <is>
          <t>Book</t>
        </is>
      </c>
      <c r="C5" s="2" t="inlineStr">
        <is>
          <t>Date</t>
        </is>
      </c>
      <c r="D5" s="2" t="inlineStr">
        <is>
          <t>Doc. No.</t>
        </is>
      </c>
      <c r="E5" s="2" t="inlineStr">
        <is>
          <t>What is wrong?</t>
        </is>
      </c>
      <c r="F5" s="2" t="inlineStr">
        <is>
          <t>Balanced? catches it? Why?</t>
        </is>
      </c>
      <c r="G5" s="2" t="inlineStr">
        <is>
          <t>Correct entry</t>
        </is>
      </c>
      <c r="H5" s="2" t="inlineStr">
        <is>
          <t>Correct book</t>
        </is>
      </c>
    </row>
    <row r="6">
      <c r="A6" s="3" t="inlineStr">
        <is>
          <t>E1</t>
        </is>
      </c>
      <c r="B6" s="3" t="inlineStr">
        <is>
          <t>Sales Journal</t>
        </is>
      </c>
      <c r="C6" s="3" t="inlineStr">
        <is>
          <t>18-Jul-2026</t>
        </is>
      </c>
      <c r="D6" s="3" t="inlineStr">
        <is>
          <t>Inv. 104</t>
        </is>
      </c>
      <c r="E6" s="3" t="inlineStr">
        <is>
          <t>The credit amount is 1,040,000 instead of 1,400,000.</t>
        </is>
      </c>
      <c r="F6" s="3" t="inlineStr">
        <is>
          <t>Yes. The debit is 1,400,000 while the credit is 1,040,000, so the journal will not balance.</t>
        </is>
      </c>
      <c r="G6" s="3" t="inlineStr">
        <is>
          <t>Dr Accounts Receivable — Akello Trading 1,400,000; Cr Sales 1,400,000.</t>
        </is>
      </c>
      <c r="H6" s="3" t="inlineStr">
        <is>
          <t>Sales Journal</t>
        </is>
      </c>
    </row>
    <row r="7">
      <c r="A7" s="3" t="inlineStr">
        <is>
          <t>E2</t>
        </is>
      </c>
      <c r="B7" s="3" t="inlineStr">
        <is>
          <t>Returns Journal</t>
        </is>
      </c>
      <c r="C7" s="3" t="inlineStr">
        <is>
          <t>15-Jul-2026</t>
        </is>
      </c>
      <c r="D7" s="3" t="inlineStr">
        <is>
          <t>DN 006</t>
        </is>
      </c>
      <c r="E7" s="3" t="inlineStr">
        <is>
          <t>The return to the supplier is treated as Returns Inward instead of Returns Outward, and the wrong side/account is used.</t>
        </is>
      </c>
      <c r="F7" s="3" t="inlineStr">
        <is>
          <t>No. If equal debit and credit amounts are entered, the balance check can still show Balanced even though the accounts and type of return are wrong.</t>
        </is>
      </c>
      <c r="G7" s="3" t="inlineStr">
        <is>
          <t>Dr Accounts Payable — Pearl Wholesalers 300,000; Cr Returns Outward 300,000.</t>
        </is>
      </c>
      <c r="H7" s="3" t="inlineStr">
        <is>
          <t>Returns Journal</t>
        </is>
      </c>
    </row>
    <row r="8">
      <c r="A8" s="3" t="inlineStr">
        <is>
          <t>E3</t>
        </is>
      </c>
      <c r="B8" s="3" t="inlineStr">
        <is>
          <t>Purchases Journal</t>
        </is>
      </c>
      <c r="C8" s="3" t="inlineStr">
        <is>
          <t>14-Jul-2026</t>
        </is>
      </c>
      <c r="D8" s="3" t="inlineStr">
        <is>
          <t>Inv. LM-77</t>
        </is>
      </c>
      <c r="E8" s="3" t="inlineStr">
        <is>
          <t>A laminating machine is a non-current asset for business use, not goods bought for resale, so it is in the wrong journal.</t>
        </is>
      </c>
      <c r="F8" s="3" t="inlineStr">
        <is>
          <t>No. The debit and credit can still be equal, so the balance check cannot detect the classification/book error.</t>
        </is>
      </c>
      <c r="G8" s="3" t="inlineStr">
        <is>
          <t>Dr Laminating Machine 1,200,000; Cr Accounts Payable — Lakeside Machines Ltd 1,200,000.</t>
        </is>
      </c>
      <c r="H8" s="3" t="inlineStr">
        <is>
          <t>General Journal</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8"/>
  <sheetViews>
    <sheetView showGridLines="0" workbookViewId="0">
      <pane ySplit="5" topLeftCell="A6" activePane="bottomLeft" state="frozen"/>
      <selection pane="bottomLeft" activeCell="A1" sqref="A1"/>
    </sheetView>
  </sheetViews>
  <sheetFormatPr baseColWidth="8" defaultRowHeight="15"/>
  <cols>
    <col width="65" customWidth="1" min="1" max="1"/>
    <col width="100" customWidth="1" min="2" max="2"/>
  </cols>
  <sheetData>
    <row r="1">
      <c r="A1" s="1" t="inlineStr">
        <is>
          <t>Task 5 Reflection</t>
        </is>
      </c>
    </row>
    <row r="2">
      <c r="A2" t="inlineStr">
        <is>
          <t>Student: NAMUDDU VIVIAN LUKWAGO</t>
        </is>
      </c>
    </row>
    <row r="3">
      <c r="A3" t="inlineStr">
        <is>
          <t>Registration No.: S25B13/019</t>
        </is>
      </c>
    </row>
    <row r="4"/>
    <row r="5">
      <c r="A5" s="2" t="inlineStr">
        <is>
          <t>Question</t>
        </is>
      </c>
      <c r="B5" s="2" t="inlineStr">
        <is>
          <t>Answer</t>
        </is>
      </c>
    </row>
    <row r="6" ht="95" customHeight="1">
      <c r="A6" s="3" t="inlineStr">
        <is>
          <t>1. Why is transaction 8 (the laminating machine) recorded in the General Journal and not in the Purchases Journal?</t>
        </is>
      </c>
      <c r="B6" s="3" t="inlineStr">
        <is>
          <t>The laminating machine is bought for use in the business, not for resale to customers. It is therefore a non-current asset rather than trading inventory. The Purchases Journal is used for credit purchases of goods intended for resale. Because this transaction involves an asset used by Namuli Print &amp; Stationery, the correct entry is Dr Laminating Machine and Cr Accounts Payable — Lakeside Machines Ltd. It belongs in the General Journal.</t>
        </is>
      </c>
    </row>
    <row r="7" ht="95" customHeight="1">
      <c r="A7" s="3" t="inlineStr">
        <is>
          <t>2. A journal can show “Balanced” and still contain errors. Using E2 and E3, explain why.</t>
        </is>
      </c>
      <c r="B7" s="3" t="inlineStr">
        <is>
          <t>A balance check only compares the total debit with the total credit; it does not confirm that the correct accounts or journal have been used. In E2, the supplier return is wrongly treated as a return inward, but the two sides can still have equal amounts. In E3, the laminating machine is placed in the Purchases Journal even though it is a business asset. The amounts can balance, so both errors can pass the check.</t>
        </is>
      </c>
    </row>
    <row r="8" ht="95" customHeight="1">
      <c r="A8" s="3" t="inlineStr">
        <is>
          <t>3. Take transaction 7 (credit note CN 010). Using the debit/credit rule, explain which accounts change, what class each account is, and why the debit and credit fall where they do.</t>
        </is>
      </c>
      <c r="B8" s="3" t="inlineStr">
        <is>
          <t>CN 010 is a return of damaged goods by Wamala Schools Ltd. Returns Inward is a nominal account and it increases, so it is debited by UGX 250,000. Accounts Receivable — Wamala Schools Ltd is a personal account and the amount owed by the customer decreases, so it is credited by UGX 250,000. The credit reduces the customer's receivable because the business no longer expects payment for the goods returned. The transaction is therefore recorded in the Returns Journal.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2026-09-20T12:09:22Z</dcterms:created>
  <dcterms:modified xmlns:dcterms="http://purl.org/dc/terms/" xmlns:xsi="http://www.w3.org/2001/XMLSchema-instance" xsi:type="dcterms:W3CDTF">2026-09-20T12:09:22Z</dcterms:modified>
</cp:coreProperties>
</file>