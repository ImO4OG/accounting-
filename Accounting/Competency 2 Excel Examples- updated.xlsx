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ECO\Downloads\"/>
    </mc:Choice>
  </mc:AlternateContent>
  <xr:revisionPtr revIDLastSave="0" documentId="13_ncr:1_{E3520426-5E25-4F77-88B3-9AB5FEE7C0EE}" xr6:coauthVersionLast="45" xr6:coauthVersionMax="47" xr10:uidLastSave="{00000000-0000-0000-0000-000000000000}"/>
  <bookViews>
    <workbookView xWindow="-96" yWindow="-96" windowWidth="23232" windowHeight="14004" tabRatio="500" activeTab="3" xr2:uid="{00000000-000D-0000-FFFF-FFFF00000000}"/>
  </bookViews>
  <sheets>
    <sheet name="Read Me" sheetId="1" r:id="rId1"/>
    <sheet name="Worked Example" sheetId="2" r:id="rId2"/>
    <sheet name="Group Task Template" sheetId="3" r:id="rId3"/>
    <sheet name="Take-Home Template" sheetId="4" r:id="rId4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6" i="2" l="1"/>
  <c r="U7" i="2"/>
  <c r="U8" i="2"/>
  <c r="U9" i="2"/>
  <c r="U10" i="2"/>
  <c r="U5" i="2"/>
  <c r="T6" i="2"/>
  <c r="T7" i="2"/>
  <c r="T8" i="2"/>
  <c r="T9" i="2"/>
  <c r="T5" i="2"/>
  <c r="S6" i="2"/>
  <c r="S7" i="2"/>
  <c r="S8" i="2"/>
  <c r="S9" i="2"/>
  <c r="S10" i="2"/>
  <c r="S5" i="2"/>
  <c r="R6" i="2"/>
  <c r="R7" i="2"/>
  <c r="R8" i="2"/>
  <c r="R9" i="2"/>
  <c r="R10" i="2"/>
  <c r="R5" i="2"/>
  <c r="Q6" i="2"/>
  <c r="Q7" i="2"/>
  <c r="Q8" i="2"/>
  <c r="Q9" i="2"/>
  <c r="Q10" i="2"/>
  <c r="Q5" i="2"/>
  <c r="P6" i="2"/>
  <c r="P7" i="2"/>
  <c r="P8" i="2"/>
  <c r="P9" i="2"/>
  <c r="P10" i="2"/>
  <c r="P5" i="2"/>
  <c r="O6" i="2"/>
  <c r="O7" i="2"/>
  <c r="O8" i="2"/>
  <c r="O9" i="2"/>
  <c r="O10" i="2"/>
  <c r="O5" i="2"/>
  <c r="N6" i="2"/>
  <c r="N7" i="2"/>
  <c r="N8" i="2"/>
  <c r="N9" i="2"/>
  <c r="N10" i="2"/>
  <c r="N5" i="2"/>
  <c r="M6" i="2"/>
  <c r="M7" i="2"/>
  <c r="M8" i="2"/>
  <c r="M9" i="2"/>
  <c r="M10" i="2"/>
  <c r="M5" i="2"/>
  <c r="L6" i="2"/>
  <c r="L7" i="2"/>
  <c r="L8" i="2"/>
  <c r="L9" i="2"/>
  <c r="L10" i="2"/>
  <c r="L5" i="2"/>
  <c r="K6" i="2"/>
  <c r="K7" i="2"/>
  <c r="K8" i="2"/>
  <c r="K9" i="2"/>
  <c r="K10" i="2"/>
  <c r="K5" i="2"/>
  <c r="J21" i="4" l="1"/>
  <c r="I21" i="4"/>
  <c r="J20" i="4"/>
  <c r="I20" i="4"/>
  <c r="K20" i="4" s="1"/>
  <c r="J19" i="4"/>
  <c r="I19" i="4"/>
  <c r="J18" i="4"/>
  <c r="I18" i="4"/>
  <c r="J17" i="4"/>
  <c r="I17" i="4"/>
  <c r="K16" i="4"/>
  <c r="J16" i="4"/>
  <c r="I16" i="4"/>
  <c r="J15" i="4"/>
  <c r="I15" i="4"/>
  <c r="J14" i="4"/>
  <c r="I14" i="4"/>
  <c r="J13" i="4"/>
  <c r="I13" i="4"/>
  <c r="K13" i="4" s="1"/>
  <c r="K12" i="4"/>
  <c r="J12" i="4"/>
  <c r="I12" i="4"/>
  <c r="J11" i="4"/>
  <c r="K11" i="4" s="1"/>
  <c r="I11" i="4"/>
  <c r="J10" i="4"/>
  <c r="I10" i="4"/>
  <c r="J9" i="4"/>
  <c r="I9" i="4"/>
  <c r="J8" i="4"/>
  <c r="I8" i="4"/>
  <c r="K8" i="4" s="1"/>
  <c r="J7" i="4"/>
  <c r="K7" i="4" s="1"/>
  <c r="I7" i="4"/>
  <c r="J5" i="4"/>
  <c r="I5" i="4"/>
  <c r="K5" i="4" s="1"/>
  <c r="J26" i="3"/>
  <c r="I26" i="3"/>
  <c r="J25" i="3"/>
  <c r="I25" i="3"/>
  <c r="K25" i="3" s="1"/>
  <c r="J24" i="3"/>
  <c r="I24" i="3"/>
  <c r="J23" i="3"/>
  <c r="I23" i="3"/>
  <c r="J22" i="3"/>
  <c r="I22" i="3"/>
  <c r="K22" i="3" s="1"/>
  <c r="J21" i="3"/>
  <c r="K21" i="3" s="1"/>
  <c r="I21" i="3"/>
  <c r="J20" i="3"/>
  <c r="I20" i="3"/>
  <c r="K20" i="3" s="1"/>
  <c r="J19" i="3"/>
  <c r="I19" i="3"/>
  <c r="J18" i="3"/>
  <c r="I18" i="3"/>
  <c r="K18" i="3" s="1"/>
  <c r="J17" i="3"/>
  <c r="K17" i="3" s="1"/>
  <c r="I17" i="3"/>
  <c r="J16" i="3"/>
  <c r="I16" i="3"/>
  <c r="J15" i="3"/>
  <c r="I15" i="3"/>
  <c r="J14" i="3"/>
  <c r="K14" i="3" s="1"/>
  <c r="I14" i="3"/>
  <c r="J13" i="3"/>
  <c r="I13" i="3"/>
  <c r="J12" i="3"/>
  <c r="I12" i="3"/>
  <c r="J11" i="3"/>
  <c r="I11" i="3"/>
  <c r="K11" i="3" s="1"/>
  <c r="K10" i="3"/>
  <c r="J10" i="3"/>
  <c r="I10" i="3"/>
  <c r="J9" i="3"/>
  <c r="I9" i="3"/>
  <c r="J8" i="3"/>
  <c r="I8" i="3"/>
  <c r="J7" i="3"/>
  <c r="I7" i="3"/>
  <c r="K7" i="3" s="1"/>
  <c r="J5" i="3"/>
  <c r="I5" i="3"/>
  <c r="K5" i="3" s="1"/>
  <c r="K9" i="3" l="1"/>
  <c r="K8" i="3"/>
  <c r="K13" i="3"/>
  <c r="K15" i="3"/>
  <c r="K24" i="3"/>
  <c r="K10" i="4"/>
  <c r="K15" i="4"/>
  <c r="K17" i="4"/>
  <c r="K19" i="4"/>
  <c r="K12" i="3"/>
  <c r="K19" i="3"/>
  <c r="K26" i="3"/>
  <c r="K14" i="4"/>
  <c r="K21" i="4"/>
  <c r="K16" i="3"/>
  <c r="K23" i="3"/>
  <c r="K9" i="4"/>
  <c r="K18" i="4"/>
</calcChain>
</file>

<file path=xl/sharedStrings.xml><?xml version="1.0" encoding="utf-8"?>
<sst xmlns="http://schemas.openxmlformats.org/spreadsheetml/2006/main" count="100" uniqueCount="83">
  <si>
    <t>Competency C2 — Accounting Equation &amp; Transaction Analysis</t>
  </si>
  <si>
    <t>Excel examples and templates to accompany the Week 2 lecture handout</t>
  </si>
  <si>
    <t>What's in this workbook</t>
  </si>
  <si>
    <t>Worked Example:  A fully completed model for Kampala Digital Solutions Ltd (6 transactions), matching Section 5 of the lecture handout. Study this tab first — every formula is already built and working.</t>
  </si>
  <si>
    <t>Group Task Template:  Blank template for the 20-transaction Group Work task (Section 7 of the handout). A worked formula-pattern example is shown at the top; enter your group's 20 transactions in the blank rows below it.</t>
  </si>
  <si>
    <t>Take-Home Template:  Blank template for the 15-transaction individual Take-Home Assignment / Milestone M2 (Section 8). Same structure as the Group Task Template, sized for 15 transactions.</t>
  </si>
  <si>
    <t>How the balance-check formula works</t>
  </si>
  <si>
    <t>Every template includes a Balance Check column using a formula equivalent to:</t>
  </si>
  <si>
    <t>Formula: IF(ROUND(Total Assets − Total Capital+Liabilities, 2) = 0, "BALANCED", "ERROR")</t>
  </si>
  <si>
    <t>If any row shows ERROR, re-check that transaction's dual effect (what changed, by how much, in which direction) before moving on — do not proceed until every row reads BALANCED.</t>
  </si>
  <si>
    <t>Colour key used throughout this workbook</t>
  </si>
  <si>
    <t>Blue text — cells you type into (transaction amounts and descriptions)</t>
  </si>
  <si>
    <t>Black text — formulas; do not overwrite these</t>
  </si>
  <si>
    <t>Yellow fill — worked example row, shown for reference only</t>
  </si>
  <si>
    <t>Reminder</t>
  </si>
  <si>
    <t>A loan increases both an asset (Cash) and a liability (Loan) — it is never revenue. This is the most common mistake at this stage; see the Facilitator Notes in the lecture handout.</t>
  </si>
  <si>
    <t>Worked Example — Kampala Digital Solutions Ltd</t>
  </si>
  <si>
    <t>Facilitator model from Section 5 of the handout. Amounts in UGX. Blue = input, black = formula.</t>
  </si>
  <si>
    <t>TRANSACTION EFFECT (this row)</t>
  </si>
  <si>
    <t>RUNNING BALANCE (cumulative)</t>
  </si>
  <si>
    <t>CHECK</t>
  </si>
  <si>
    <t>No.</t>
  </si>
  <si>
    <t>Transaction</t>
  </si>
  <si>
    <t>Cash Δ</t>
  </si>
  <si>
    <t>Equipment Δ</t>
  </si>
  <si>
    <t>Stock Δ</t>
  </si>
  <si>
    <t>Capital Δ</t>
  </si>
  <si>
    <t>Loan Δ</t>
  </si>
  <si>
    <t>Creditors Δ</t>
  </si>
  <si>
    <t>Revenue Δ</t>
  </si>
  <si>
    <t>Expenses Δ</t>
  </si>
  <si>
    <t>Cash Bal.</t>
  </si>
  <si>
    <t>Equipment Bal.</t>
  </si>
  <si>
    <t>Stock Bal.</t>
  </si>
  <si>
    <t>Total Assets</t>
  </si>
  <si>
    <t>Capital Bal.</t>
  </si>
  <si>
    <t>Loan Bal.</t>
  </si>
  <si>
    <t>Creditors Bal.</t>
  </si>
  <si>
    <t>Revenue Bal.</t>
  </si>
  <si>
    <t>Expenses Bal.</t>
  </si>
  <si>
    <t>Total Cap.+Liab.</t>
  </si>
  <si>
    <t>Balance Check</t>
  </si>
  <si>
    <t>Owner invests capital (cash)</t>
  </si>
  <si>
    <t>Buys equipment for cash</t>
  </si>
  <si>
    <t>Takes a bank loan (cash received)</t>
  </si>
  <si>
    <t>Credit purchase of stock</t>
  </si>
  <si>
    <t>Cash sale to a customer</t>
  </si>
  <si>
    <t>Pays office rent (expense) by cash</t>
  </si>
  <si>
    <t>Note: Δ columns are the change caused by that single transaction. Balance columns are the running cumulative total. Total Assets must equal Total Capital+Liabilities on every row.</t>
  </si>
  <si>
    <t>Group Task Template — 20 Transactions</t>
  </si>
  <si>
    <t>Groups of maximum 5 members. Fill in the blue cells below; note who drafted each row in the Drafted By column.</t>
  </si>
  <si>
    <t>Transaction Description</t>
  </si>
  <si>
    <t>Assets Δ (UGX)</t>
  </si>
  <si>
    <t>Capital Δ (UGX)</t>
  </si>
  <si>
    <t>Liabilities Δ (UGX)</t>
  </si>
  <si>
    <t>Revenue Δ (UGX)</t>
  </si>
  <si>
    <t>Expenses Δ (UGX)</t>
  </si>
  <si>
    <t>Drawings Δ (UGX)</t>
  </si>
  <si>
    <t>Running Total Assets</t>
  </si>
  <si>
    <t>Running Total (Cap.+Liab.+Rev.−Exp.−Draw.)</t>
  </si>
  <si>
    <t>Drafted By</t>
  </si>
  <si>
    <t>FORMULA PATTERN EXAMPLE (for reference — not one of your transactions)</t>
  </si>
  <si>
    <t>EX</t>
  </si>
  <si>
    <t>Owner invests UGX 10,000,000 cash as capital</t>
  </si>
  <si>
    <t>(example)</t>
  </si>
  <si>
    <t>YOUR 20 TRANSACTIONS</t>
  </si>
  <si>
    <t>Type your transactions in the blue cells. Formulas (black) update automatically — do not overwrite them. Every row in the Balance Check column must read BALANCED.</t>
  </si>
  <si>
    <t>Take-Home Template — 15 Transactions (Individual / Milestone M2)</t>
  </si>
  <si>
    <t>Individual submission. Fill in the blue cells below with your own single-owner ICT business transactions.</t>
  </si>
  <si>
    <t>YOUR 15 TRANSACTIONS</t>
  </si>
  <si>
    <t>Equipment Bal=SUM($D$5:D5)-Equipment</t>
  </si>
  <si>
    <t>Stock Bal=SUM($E$5:E5)-Total Stock</t>
  </si>
  <si>
    <t>Total Assets=Cash Bal+Equipment Bal +Stock Bal</t>
  </si>
  <si>
    <t>Capital Bal=SUM($F$5:F5)- Capital</t>
  </si>
  <si>
    <t>Loan Bal=SUM($G$5:G5)- loan</t>
  </si>
  <si>
    <t>Creditors Bal=SUM($H$5:H5)- Creditors</t>
  </si>
  <si>
    <t>Revenue Bal=SUM($I5:I5)- Revenue</t>
  </si>
  <si>
    <t>Expenses Bal=SUM($J$5:J5) - Expenses</t>
  </si>
  <si>
    <t>Total Cap+Liab=Capital Bal+Loan Bal+Creditors Bal+Reveue Bal- Expenses Bal</t>
  </si>
  <si>
    <t>Balance Check= IF(ROUND(N5-T5,2)=0,"BALANCED","ERROR")</t>
  </si>
  <si>
    <t xml:space="preserve">N5=Total Assets </t>
  </si>
  <si>
    <t>T5=Total Cap+ Liabs</t>
  </si>
  <si>
    <t>Cash Bal=SUM($C$5:C5)-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</si>
</sst>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1F3864"/>
      <name val="Arial"/>
      <charset val="1"/>
    </font>
    <font>
      <b/>
      <sz val="11"/>
      <color rgb="FF1F3864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i/>
      <sz val="9"/>
      <color rgb="FF666666"/>
      <name val="Arial"/>
      <charset val="1"/>
    </font>
    <font>
      <b/>
      <i/>
      <sz val="9"/>
      <color rgb="FF1F3864"/>
      <name val="Arial"/>
      <charset val="1"/>
    </font>
    <font>
      <i/>
      <sz val="10"/>
      <color rgb="FF000000"/>
      <name val="Arial"/>
      <charset val="1"/>
    </font>
    <font>
      <b/>
      <sz val="9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7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EEF2F7"/>
      </patternFill>
    </fill>
    <fill>
      <patternFill patternType="solid">
        <fgColor rgb="FFB08D57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4" fontId="9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8" fillId="3" borderId="1" xfId="0" applyNumberFormat="1" applyFont="1" applyFill="1" applyBorder="1" applyAlignment="1">
      <alignment horizontal="right" vertical="center" wrapText="1"/>
    </xf>
    <xf numFmtId="164" fontId="9" fillId="3" borderId="1" xfId="0" applyNumberFormat="1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8" fillId="5" borderId="1" xfId="0" applyNumberFormat="1" applyFont="1" applyFill="1" applyBorder="1" applyAlignment="1">
      <alignment horizontal="right" vertical="center" wrapText="1"/>
    </xf>
    <xf numFmtId="164" fontId="9" fillId="5" borderId="1" xfId="0" applyNumberFormat="1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 indent="1"/>
    </xf>
    <xf numFmtId="0" fontId="3" fillId="0" borderId="0" xfId="0" applyFont="1" applyBorder="1"/>
    <xf numFmtId="0" fontId="5" fillId="0" borderId="0" xfId="0" applyFont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wrapText="1" indent="1"/>
    </xf>
    <xf numFmtId="0" fontId="6" fillId="6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left" vertical="center" indent="1"/>
    </xf>
    <xf numFmtId="0" fontId="13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5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zoomScaleNormal="100" workbookViewId="0">
      <selection sqref="A1:F1"/>
    </sheetView>
  </sheetViews>
  <sheetFormatPr defaultColWidth="8.68359375" defaultRowHeight="14.4" x14ac:dyDescent="0.55000000000000004"/>
  <cols>
    <col min="1" max="1" width="22" customWidth="1"/>
    <col min="2" max="6" width="16" customWidth="1"/>
  </cols>
  <sheetData>
    <row r="1" spans="1:6" ht="25.5" customHeight="1" x14ac:dyDescent="0.55000000000000004">
      <c r="A1" s="25" t="s">
        <v>0</v>
      </c>
      <c r="B1" s="25"/>
      <c r="C1" s="25"/>
      <c r="D1" s="25"/>
      <c r="E1" s="25"/>
      <c r="F1" s="25"/>
    </row>
    <row r="2" spans="1:6" ht="18" customHeight="1" x14ac:dyDescent="0.55000000000000004">
      <c r="A2" s="26" t="s">
        <v>1</v>
      </c>
      <c r="B2" s="26"/>
      <c r="C2" s="26"/>
      <c r="D2" s="26"/>
      <c r="E2" s="26"/>
      <c r="F2" s="26"/>
    </row>
    <row r="4" spans="1:6" ht="19.5" customHeight="1" x14ac:dyDescent="0.55000000000000004">
      <c r="A4" s="23" t="s">
        <v>2</v>
      </c>
      <c r="B4" s="23"/>
      <c r="C4" s="23"/>
      <c r="D4" s="23"/>
      <c r="E4" s="23"/>
      <c r="F4" s="23"/>
    </row>
    <row r="5" spans="1:6" ht="30" customHeight="1" x14ac:dyDescent="0.55000000000000004">
      <c r="A5" s="22" t="s">
        <v>3</v>
      </c>
      <c r="B5" s="22"/>
      <c r="C5" s="22"/>
      <c r="D5" s="22"/>
      <c r="E5" s="22"/>
      <c r="F5" s="22"/>
    </row>
    <row r="6" spans="1:6" ht="30" customHeight="1" x14ac:dyDescent="0.55000000000000004">
      <c r="A6" s="22" t="s">
        <v>4</v>
      </c>
      <c r="B6" s="22"/>
      <c r="C6" s="22"/>
      <c r="D6" s="22"/>
      <c r="E6" s="22"/>
      <c r="F6" s="22"/>
    </row>
    <row r="7" spans="1:6" ht="30" customHeight="1" x14ac:dyDescent="0.55000000000000004">
      <c r="A7" s="22" t="s">
        <v>5</v>
      </c>
      <c r="B7" s="22"/>
      <c r="C7" s="22"/>
      <c r="D7" s="22"/>
      <c r="E7" s="22"/>
      <c r="F7" s="22"/>
    </row>
    <row r="9" spans="1:6" ht="19.5" customHeight="1" x14ac:dyDescent="0.55000000000000004">
      <c r="A9" s="23" t="s">
        <v>6</v>
      </c>
      <c r="B9" s="23"/>
      <c r="C9" s="23"/>
      <c r="D9" s="23"/>
      <c r="E9" s="23"/>
      <c r="F9" s="23"/>
    </row>
    <row r="10" spans="1:6" ht="30" customHeight="1" x14ac:dyDescent="0.55000000000000004">
      <c r="A10" s="22" t="s">
        <v>7</v>
      </c>
      <c r="B10" s="22"/>
      <c r="C10" s="22"/>
      <c r="D10" s="22"/>
      <c r="E10" s="22"/>
      <c r="F10" s="22"/>
    </row>
    <row r="11" spans="1:6" ht="30" customHeight="1" x14ac:dyDescent="0.55000000000000004">
      <c r="A11" s="22" t="s">
        <v>8</v>
      </c>
      <c r="B11" s="22"/>
      <c r="C11" s="22"/>
      <c r="D11" s="22"/>
      <c r="E11" s="22"/>
      <c r="F11" s="22"/>
    </row>
    <row r="12" spans="1:6" ht="30" customHeight="1" x14ac:dyDescent="0.55000000000000004">
      <c r="A12" s="22" t="s">
        <v>9</v>
      </c>
      <c r="B12" s="22"/>
      <c r="C12" s="22"/>
      <c r="D12" s="22"/>
      <c r="E12" s="22"/>
      <c r="F12" s="22"/>
    </row>
    <row r="14" spans="1:6" ht="19.5" customHeight="1" x14ac:dyDescent="0.55000000000000004">
      <c r="A14" s="23" t="s">
        <v>10</v>
      </c>
      <c r="B14" s="23"/>
      <c r="C14" s="23"/>
      <c r="D14" s="23"/>
      <c r="E14" s="23"/>
      <c r="F14" s="23"/>
    </row>
    <row r="15" spans="1:6" ht="18" customHeight="1" x14ac:dyDescent="0.55000000000000004">
      <c r="A15" s="1"/>
      <c r="B15" s="24" t="s">
        <v>11</v>
      </c>
      <c r="C15" s="24"/>
      <c r="D15" s="24"/>
      <c r="E15" s="24"/>
      <c r="F15" s="24"/>
    </row>
    <row r="16" spans="1:6" ht="18" customHeight="1" x14ac:dyDescent="0.55000000000000004">
      <c r="A16" s="2"/>
      <c r="B16" s="24" t="s">
        <v>12</v>
      </c>
      <c r="C16" s="24"/>
      <c r="D16" s="24"/>
      <c r="E16" s="24"/>
      <c r="F16" s="24"/>
    </row>
    <row r="17" spans="1:6" ht="18" customHeight="1" x14ac:dyDescent="0.55000000000000004">
      <c r="A17" s="3"/>
      <c r="B17" s="24" t="s">
        <v>13</v>
      </c>
      <c r="C17" s="24"/>
      <c r="D17" s="24"/>
      <c r="E17" s="24"/>
      <c r="F17" s="24"/>
    </row>
    <row r="19" spans="1:6" ht="19.5" customHeight="1" x14ac:dyDescent="0.55000000000000004">
      <c r="A19" s="23" t="s">
        <v>14</v>
      </c>
      <c r="B19" s="23"/>
      <c r="C19" s="23"/>
      <c r="D19" s="23"/>
      <c r="E19" s="23"/>
      <c r="F19" s="23"/>
    </row>
    <row r="20" spans="1:6" ht="30" customHeight="1" x14ac:dyDescent="0.55000000000000004">
      <c r="A20" s="22" t="s">
        <v>15</v>
      </c>
      <c r="B20" s="22"/>
      <c r="C20" s="22"/>
      <c r="D20" s="22"/>
      <c r="E20" s="22"/>
      <c r="F20" s="22"/>
    </row>
  </sheetData>
  <mergeCells count="16">
    <mergeCell ref="A1:F1"/>
    <mergeCell ref="A2:F2"/>
    <mergeCell ref="A4:F4"/>
    <mergeCell ref="A5:F5"/>
    <mergeCell ref="A6:F6"/>
    <mergeCell ref="A7:F7"/>
    <mergeCell ref="A9:F9"/>
    <mergeCell ref="A10:F10"/>
    <mergeCell ref="A11:F11"/>
    <mergeCell ref="A12:F12"/>
    <mergeCell ref="A20:F20"/>
    <mergeCell ref="A14:F14"/>
    <mergeCell ref="B15:F15"/>
    <mergeCell ref="B16:F16"/>
    <mergeCell ref="B17:F17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"/>
  <sheetViews>
    <sheetView showGridLines="0" zoomScale="96" zoomScaleNormal="96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N22" sqref="N22"/>
    </sheetView>
  </sheetViews>
  <sheetFormatPr defaultColWidth="8.68359375" defaultRowHeight="14.4" x14ac:dyDescent="0.55000000000000004"/>
  <cols>
    <col min="1" max="1" width="5" customWidth="1"/>
    <col min="2" max="2" width="30" customWidth="1"/>
    <col min="3" max="3" width="10" customWidth="1"/>
    <col min="4" max="4" width="11.83984375" customWidth="1"/>
    <col min="5" max="10" width="10" customWidth="1"/>
    <col min="11" max="20" width="11" customWidth="1"/>
    <col min="21" max="21" width="12" customWidth="1"/>
  </cols>
  <sheetData>
    <row r="1" spans="1:21" ht="25.5" customHeight="1" x14ac:dyDescent="0.55000000000000004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8" customHeight="1" x14ac:dyDescent="0.55000000000000004">
      <c r="A2" s="26" t="s">
        <v>17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1:21" x14ac:dyDescent="0.55000000000000004">
      <c r="C3" s="28" t="s">
        <v>18</v>
      </c>
      <c r="D3" s="28"/>
      <c r="E3" s="28"/>
      <c r="F3" s="28"/>
      <c r="G3" s="28"/>
      <c r="H3" s="28"/>
      <c r="I3" s="28"/>
      <c r="J3" s="28"/>
      <c r="K3" s="28" t="s">
        <v>19</v>
      </c>
      <c r="L3" s="28"/>
      <c r="M3" s="28"/>
      <c r="N3" s="28"/>
      <c r="O3" s="28"/>
      <c r="P3" s="28"/>
      <c r="Q3" s="28"/>
      <c r="R3" s="28"/>
      <c r="S3" s="28"/>
      <c r="T3" s="28" t="s">
        <v>20</v>
      </c>
      <c r="U3" s="28"/>
    </row>
    <row r="4" spans="1:21" ht="31.5" customHeight="1" x14ac:dyDescent="0.5500000000000000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  <c r="O4" s="4" t="s">
        <v>35</v>
      </c>
      <c r="P4" s="4" t="s">
        <v>36</v>
      </c>
      <c r="Q4" s="4" t="s">
        <v>37</v>
      </c>
      <c r="R4" s="4" t="s">
        <v>38</v>
      </c>
      <c r="S4" s="4" t="s">
        <v>39</v>
      </c>
      <c r="T4" s="4" t="s">
        <v>40</v>
      </c>
      <c r="U4" s="4" t="s">
        <v>41</v>
      </c>
    </row>
    <row r="5" spans="1:21" x14ac:dyDescent="0.55000000000000004">
      <c r="A5" s="5">
        <v>1</v>
      </c>
      <c r="B5" s="6" t="s">
        <v>42</v>
      </c>
      <c r="C5" s="7">
        <v>10000000</v>
      </c>
      <c r="D5" s="7">
        <v>0</v>
      </c>
      <c r="E5" s="7">
        <v>0</v>
      </c>
      <c r="F5" s="7">
        <v>10000000</v>
      </c>
      <c r="G5" s="7">
        <v>0</v>
      </c>
      <c r="H5" s="7">
        <v>0</v>
      </c>
      <c r="I5" s="7">
        <v>0</v>
      </c>
      <c r="J5" s="7">
        <v>0</v>
      </c>
      <c r="K5" s="8">
        <f>SUM($C$5:C5)</f>
        <v>10000000</v>
      </c>
      <c r="L5" s="8">
        <f>SUM($D$5:D5)</f>
        <v>0</v>
      </c>
      <c r="M5" s="8">
        <f>SUM($E$5:E5)</f>
        <v>0</v>
      </c>
      <c r="N5" s="9">
        <f>K5+L5+M5</f>
        <v>10000000</v>
      </c>
      <c r="O5" s="8">
        <f>SUM($F$5:F5)</f>
        <v>10000000</v>
      </c>
      <c r="P5" s="8">
        <f>SUM($G$5:G5)</f>
        <v>0</v>
      </c>
      <c r="Q5" s="8">
        <f>SUM($H$5:H5)</f>
        <v>0</v>
      </c>
      <c r="R5" s="8">
        <f>SUM($I$5:I5)</f>
        <v>0</v>
      </c>
      <c r="S5" s="8">
        <f>SUM($J$5:J5)</f>
        <v>0</v>
      </c>
      <c r="T5" s="9">
        <f>O5+P5+Q5+R5-S5</f>
        <v>10000000</v>
      </c>
      <c r="U5" s="10" t="str">
        <f>IF(ROUND(N5-T5,2)=0,"BALANCED","ERROR")</f>
        <v>BALANCED</v>
      </c>
    </row>
    <row r="6" spans="1:21" x14ac:dyDescent="0.55000000000000004">
      <c r="A6" s="11">
        <v>2</v>
      </c>
      <c r="B6" s="12" t="s">
        <v>43</v>
      </c>
      <c r="C6" s="13">
        <v>-3000000</v>
      </c>
      <c r="D6" s="13">
        <v>3000000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8">
        <f>SUM($C$5:C6)</f>
        <v>7000000</v>
      </c>
      <c r="L6" s="8">
        <f>SUM($D$5:D6)</f>
        <v>3000000</v>
      </c>
      <c r="M6" s="8">
        <f>SUM($E$5:E6)</f>
        <v>0</v>
      </c>
      <c r="N6" s="9">
        <f t="shared" ref="N6:N10" si="0">K6+L6+M6</f>
        <v>10000000</v>
      </c>
      <c r="O6" s="8">
        <f>SUM($F$5:F6)</f>
        <v>10000000</v>
      </c>
      <c r="P6" s="8">
        <f>SUM($G$5:G6)</f>
        <v>0</v>
      </c>
      <c r="Q6" s="8">
        <f>SUM($H$5:H6)</f>
        <v>0</v>
      </c>
      <c r="R6" s="8">
        <f>SUM($I$5:I6)</f>
        <v>0</v>
      </c>
      <c r="S6" s="8">
        <f>SUM($J$5:J6)</f>
        <v>0</v>
      </c>
      <c r="T6" s="9">
        <f t="shared" ref="T6:T9" si="1">O6+P6+Q6+R6-S6</f>
        <v>10000000</v>
      </c>
      <c r="U6" s="10" t="str">
        <f t="shared" ref="U6:U10" si="2">IF(ROUND(N6-T6,2)=0,"BALANCED","ERROR")</f>
        <v>BALANCED</v>
      </c>
    </row>
    <row r="7" spans="1:21" x14ac:dyDescent="0.55000000000000004">
      <c r="A7" s="5">
        <v>3</v>
      </c>
      <c r="B7" s="6" t="s">
        <v>44</v>
      </c>
      <c r="C7" s="7">
        <v>5000000</v>
      </c>
      <c r="D7" s="7">
        <v>0</v>
      </c>
      <c r="E7" s="7">
        <v>0</v>
      </c>
      <c r="F7" s="7">
        <v>0</v>
      </c>
      <c r="G7" s="7">
        <v>5000000</v>
      </c>
      <c r="H7" s="7">
        <v>0</v>
      </c>
      <c r="I7" s="7">
        <v>0</v>
      </c>
      <c r="J7" s="7">
        <v>0</v>
      </c>
      <c r="K7" s="8">
        <f>SUM($C$5:C7)</f>
        <v>12000000</v>
      </c>
      <c r="L7" s="8">
        <f>SUM($D$5:D7)</f>
        <v>3000000</v>
      </c>
      <c r="M7" s="8">
        <f>SUM($E$5:E7)</f>
        <v>0</v>
      </c>
      <c r="N7" s="9">
        <f t="shared" si="0"/>
        <v>15000000</v>
      </c>
      <c r="O7" s="8">
        <f>SUM($F$5:F7)</f>
        <v>10000000</v>
      </c>
      <c r="P7" s="8">
        <f>SUM($G$5:G7)</f>
        <v>5000000</v>
      </c>
      <c r="Q7" s="8">
        <f>SUM($H$5:H7)</f>
        <v>0</v>
      </c>
      <c r="R7" s="8">
        <f>SUM($I$5:I7)</f>
        <v>0</v>
      </c>
      <c r="S7" s="8">
        <f>SUM($J$5:J7)</f>
        <v>0</v>
      </c>
      <c r="T7" s="9">
        <f t="shared" si="1"/>
        <v>15000000</v>
      </c>
      <c r="U7" s="10" t="str">
        <f t="shared" si="2"/>
        <v>BALANCED</v>
      </c>
    </row>
    <row r="8" spans="1:21" x14ac:dyDescent="0.55000000000000004">
      <c r="A8" s="11">
        <v>4</v>
      </c>
      <c r="B8" s="12" t="s">
        <v>45</v>
      </c>
      <c r="C8" s="13">
        <v>0</v>
      </c>
      <c r="D8" s="13">
        <v>0</v>
      </c>
      <c r="E8" s="13">
        <v>2000000</v>
      </c>
      <c r="F8" s="13">
        <v>0</v>
      </c>
      <c r="G8" s="13">
        <v>0</v>
      </c>
      <c r="H8" s="13">
        <v>2000000</v>
      </c>
      <c r="I8" s="13">
        <v>0</v>
      </c>
      <c r="J8" s="13">
        <v>0</v>
      </c>
      <c r="K8" s="8">
        <f>SUM($C$5:C8)</f>
        <v>12000000</v>
      </c>
      <c r="L8" s="8">
        <f>SUM($D$5:D8)</f>
        <v>3000000</v>
      </c>
      <c r="M8" s="8">
        <f>SUM($E$5:E8)</f>
        <v>2000000</v>
      </c>
      <c r="N8" s="9">
        <f t="shared" si="0"/>
        <v>17000000</v>
      </c>
      <c r="O8" s="8">
        <f>SUM($F$5:F8)</f>
        <v>10000000</v>
      </c>
      <c r="P8" s="8">
        <f>SUM($G$5:G8)</f>
        <v>5000000</v>
      </c>
      <c r="Q8" s="8">
        <f>SUM($H$5:H8)</f>
        <v>2000000</v>
      </c>
      <c r="R8" s="8">
        <f>SUM($I$5:I8)</f>
        <v>0</v>
      </c>
      <c r="S8" s="8">
        <f>SUM($J$5:J8)</f>
        <v>0</v>
      </c>
      <c r="T8" s="9">
        <f t="shared" si="1"/>
        <v>17000000</v>
      </c>
      <c r="U8" s="10" t="str">
        <f t="shared" si="2"/>
        <v>BALANCED</v>
      </c>
    </row>
    <row r="9" spans="1:21" x14ac:dyDescent="0.55000000000000004">
      <c r="A9" s="5">
        <v>5</v>
      </c>
      <c r="B9" s="6" t="s">
        <v>46</v>
      </c>
      <c r="C9" s="7">
        <v>1500000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1500000</v>
      </c>
      <c r="J9" s="7">
        <v>0</v>
      </c>
      <c r="K9" s="8">
        <f>SUM($C$5:C9)</f>
        <v>13500000</v>
      </c>
      <c r="L9" s="8">
        <f>SUM($D$5:D9)</f>
        <v>3000000</v>
      </c>
      <c r="M9" s="8">
        <f>SUM($E$5:E9)</f>
        <v>2000000</v>
      </c>
      <c r="N9" s="9">
        <f t="shared" si="0"/>
        <v>18500000</v>
      </c>
      <c r="O9" s="8">
        <f>SUM($F$5:F9)</f>
        <v>10000000</v>
      </c>
      <c r="P9" s="8">
        <f>SUM($G$5:G9)</f>
        <v>5000000</v>
      </c>
      <c r="Q9" s="8">
        <f>SUM($H$5:H9)</f>
        <v>2000000</v>
      </c>
      <c r="R9" s="8">
        <f>SUM($I$5:I9)</f>
        <v>1500000</v>
      </c>
      <c r="S9" s="8">
        <f>SUM($J$5:J9)</f>
        <v>0</v>
      </c>
      <c r="T9" s="9">
        <f t="shared" si="1"/>
        <v>18500000</v>
      </c>
      <c r="U9" s="10" t="str">
        <f t="shared" si="2"/>
        <v>BALANCED</v>
      </c>
    </row>
    <row r="10" spans="1:21" x14ac:dyDescent="0.55000000000000004">
      <c r="A10" s="11">
        <v>6</v>
      </c>
      <c r="B10" s="12" t="s">
        <v>47</v>
      </c>
      <c r="C10" s="13">
        <v>-400000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400000</v>
      </c>
      <c r="K10" s="8">
        <f>SUM($C$5:C10)</f>
        <v>13100000</v>
      </c>
      <c r="L10" s="8">
        <f>SUM($D$5:D10)</f>
        <v>3000000</v>
      </c>
      <c r="M10" s="8">
        <f>SUM($E$5:E10)</f>
        <v>2000000</v>
      </c>
      <c r="N10" s="9">
        <f t="shared" si="0"/>
        <v>18100000</v>
      </c>
      <c r="O10" s="8">
        <f>SUM($F$5:F10)</f>
        <v>10000000</v>
      </c>
      <c r="P10" s="8">
        <f>SUM($G$5:G10)</f>
        <v>5000000</v>
      </c>
      <c r="Q10" s="8">
        <f>SUM($H$5:H10)</f>
        <v>2000000</v>
      </c>
      <c r="R10" s="8">
        <f>SUM($I$5:I10)</f>
        <v>1500000</v>
      </c>
      <c r="S10" s="8">
        <f>SUM($J$5:J10)</f>
        <v>400000</v>
      </c>
      <c r="T10" s="14"/>
      <c r="U10" s="10" t="str">
        <f t="shared" si="2"/>
        <v>ERROR</v>
      </c>
    </row>
    <row r="12" spans="1:21" ht="15" customHeight="1" x14ac:dyDescent="0.55000000000000004">
      <c r="A12" s="27" t="s">
        <v>48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</row>
    <row r="14" spans="1:21" x14ac:dyDescent="0.55000000000000004">
      <c r="C14" t="s">
        <v>82</v>
      </c>
      <c r="H14" t="s">
        <v>74</v>
      </c>
    </row>
    <row r="15" spans="1:21" x14ac:dyDescent="0.55000000000000004">
      <c r="C15" t="s">
        <v>70</v>
      </c>
      <c r="H15" t="s">
        <v>75</v>
      </c>
    </row>
    <row r="16" spans="1:21" x14ac:dyDescent="0.55000000000000004">
      <c r="C16" t="s">
        <v>71</v>
      </c>
      <c r="H16" t="s">
        <v>76</v>
      </c>
    </row>
    <row r="17" spans="3:8" x14ac:dyDescent="0.55000000000000004">
      <c r="C17" t="s">
        <v>72</v>
      </c>
      <c r="H17" t="s">
        <v>77</v>
      </c>
    </row>
    <row r="18" spans="3:8" x14ac:dyDescent="0.55000000000000004">
      <c r="C18" t="s">
        <v>73</v>
      </c>
      <c r="H18" t="s">
        <v>78</v>
      </c>
    </row>
    <row r="19" spans="3:8" x14ac:dyDescent="0.55000000000000004">
      <c r="H19" t="s">
        <v>79</v>
      </c>
    </row>
    <row r="20" spans="3:8" x14ac:dyDescent="0.55000000000000004">
      <c r="H20" t="s">
        <v>80</v>
      </c>
    </row>
    <row r="21" spans="3:8" x14ac:dyDescent="0.55000000000000004">
      <c r="H21" t="s">
        <v>81</v>
      </c>
    </row>
  </sheetData>
  <mergeCells count="6">
    <mergeCell ref="A12:U12"/>
    <mergeCell ref="A1:U1"/>
    <mergeCell ref="A2:U2"/>
    <mergeCell ref="C3:J3"/>
    <mergeCell ref="K3:S3"/>
    <mergeCell ref="T3:U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4" sqref="D14"/>
    </sheetView>
  </sheetViews>
  <sheetFormatPr defaultColWidth="8.68359375" defaultRowHeight="14.4" x14ac:dyDescent="0.55000000000000004"/>
  <cols>
    <col min="1" max="1" width="5" customWidth="1"/>
    <col min="2" max="2" width="32" customWidth="1"/>
    <col min="3" max="8" width="13" customWidth="1"/>
    <col min="9" max="9" width="14" customWidth="1"/>
    <col min="10" max="10" width="18" customWidth="1"/>
    <col min="11" max="11" width="12" customWidth="1"/>
    <col min="12" max="12" width="16" customWidth="1"/>
  </cols>
  <sheetData>
    <row r="1" spans="1:12" ht="25.5" customHeight="1" x14ac:dyDescent="0.55000000000000004">
      <c r="A1" s="25" t="s">
        <v>49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8" customHeight="1" x14ac:dyDescent="0.55000000000000004">
      <c r="A2" s="26" t="s">
        <v>50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33.75" customHeight="1" x14ac:dyDescent="0.55000000000000004">
      <c r="A3" s="4" t="s">
        <v>21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  <c r="G3" s="4" t="s">
        <v>56</v>
      </c>
      <c r="H3" s="4" t="s">
        <v>57</v>
      </c>
      <c r="I3" s="4" t="s">
        <v>58</v>
      </c>
      <c r="J3" s="4" t="s">
        <v>59</v>
      </c>
      <c r="K3" s="4" t="s">
        <v>41</v>
      </c>
      <c r="L3" s="4" t="s">
        <v>60</v>
      </c>
    </row>
    <row r="4" spans="1:12" x14ac:dyDescent="0.55000000000000004">
      <c r="A4" s="29" t="s">
        <v>61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24.6" x14ac:dyDescent="0.55000000000000004">
      <c r="A5" s="16" t="s">
        <v>62</v>
      </c>
      <c r="B5" s="17" t="s">
        <v>63</v>
      </c>
      <c r="C5" s="18">
        <v>10000000</v>
      </c>
      <c r="D5" s="18">
        <v>10000000</v>
      </c>
      <c r="E5" s="18">
        <v>0</v>
      </c>
      <c r="F5" s="18">
        <v>0</v>
      </c>
      <c r="G5" s="18">
        <v>0</v>
      </c>
      <c r="H5" s="18">
        <v>0</v>
      </c>
      <c r="I5" s="19">
        <f>C5</f>
        <v>10000000</v>
      </c>
      <c r="J5" s="19">
        <f>D5+E5+F5-G5-H5</f>
        <v>10000000</v>
      </c>
      <c r="K5" s="20" t="str">
        <f>IF(ROUND(I5-J5,2)=0,"BALANCED","ERROR")</f>
        <v>BALANCED</v>
      </c>
      <c r="L5" s="21" t="s">
        <v>64</v>
      </c>
    </row>
    <row r="6" spans="1:12" x14ac:dyDescent="0.55000000000000004">
      <c r="A6" s="30" t="s">
        <v>65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2" x14ac:dyDescent="0.55000000000000004">
      <c r="A7" s="5">
        <v>1</v>
      </c>
      <c r="B7" s="6"/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9">
        <f>SUM($C$7:C7)</f>
        <v>0</v>
      </c>
      <c r="J7" s="9">
        <f>SUM($D$7:D7)+SUM($E$7:E7)+SUM($F$7:F7)-SUM($G$7:G7)-SUM($H$7:H7)</f>
        <v>0</v>
      </c>
      <c r="K7" s="10" t="str">
        <f t="shared" ref="K7:K26" si="0">IF(ROUND(I7-J7,2)=0,"BALANCED","ERROR")</f>
        <v>BALANCED</v>
      </c>
      <c r="L7" s="6"/>
    </row>
    <row r="8" spans="1:12" x14ac:dyDescent="0.55000000000000004">
      <c r="A8" s="11">
        <v>2</v>
      </c>
      <c r="B8" s="12"/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4">
        <f>SUM($C$7:C8)</f>
        <v>0</v>
      </c>
      <c r="J8" s="14">
        <f>SUM($D$7:D8)+SUM($E$7:E8)+SUM($F$7:F8)-SUM($G$7:G8)-SUM($H$7:H8)</f>
        <v>0</v>
      </c>
      <c r="K8" s="15" t="str">
        <f t="shared" si="0"/>
        <v>BALANCED</v>
      </c>
      <c r="L8" s="12"/>
    </row>
    <row r="9" spans="1:12" x14ac:dyDescent="0.55000000000000004">
      <c r="A9" s="5">
        <v>3</v>
      </c>
      <c r="B9" s="6"/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9">
        <f>SUM($C$7:C9)</f>
        <v>0</v>
      </c>
      <c r="J9" s="9">
        <f>SUM($D$7:D9)+SUM($E$7:E9)+SUM($F$7:F9)-SUM($G$7:G9)-SUM($H$7:H9)</f>
        <v>0</v>
      </c>
      <c r="K9" s="10" t="str">
        <f t="shared" si="0"/>
        <v>BALANCED</v>
      </c>
      <c r="L9" s="6"/>
    </row>
    <row r="10" spans="1:12" x14ac:dyDescent="0.55000000000000004">
      <c r="A10" s="11">
        <v>4</v>
      </c>
      <c r="B10" s="12"/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4">
        <f>SUM($C$7:C10)</f>
        <v>0</v>
      </c>
      <c r="J10" s="14">
        <f>SUM($D$7:D10)+SUM($E$7:E10)+SUM($F$7:F10)-SUM($G$7:G10)-SUM($H$7:H10)</f>
        <v>0</v>
      </c>
      <c r="K10" s="15" t="str">
        <f t="shared" si="0"/>
        <v>BALANCED</v>
      </c>
      <c r="L10" s="12"/>
    </row>
    <row r="11" spans="1:12" x14ac:dyDescent="0.55000000000000004">
      <c r="A11" s="5">
        <v>5</v>
      </c>
      <c r="B11" s="6"/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9">
        <f>SUM($C$7:C11)</f>
        <v>0</v>
      </c>
      <c r="J11" s="9">
        <f>SUM($D$7:D11)+SUM($E$7:E11)+SUM($F$7:F11)-SUM($G$7:G11)-SUM($H$7:H11)</f>
        <v>0</v>
      </c>
      <c r="K11" s="10" t="str">
        <f t="shared" si="0"/>
        <v>BALANCED</v>
      </c>
      <c r="L11" s="6"/>
    </row>
    <row r="12" spans="1:12" x14ac:dyDescent="0.55000000000000004">
      <c r="A12" s="11">
        <v>6</v>
      </c>
      <c r="B12" s="12"/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4">
        <f>SUM($C$7:C12)</f>
        <v>0</v>
      </c>
      <c r="J12" s="14">
        <f>SUM($D$7:D12)+SUM($E$7:E12)+SUM($F$7:F12)-SUM($G$7:G12)-SUM($H$7:H12)</f>
        <v>0</v>
      </c>
      <c r="K12" s="15" t="str">
        <f t="shared" si="0"/>
        <v>BALANCED</v>
      </c>
      <c r="L12" s="12"/>
    </row>
    <row r="13" spans="1:12" x14ac:dyDescent="0.55000000000000004">
      <c r="A13" s="5">
        <v>7</v>
      </c>
      <c r="B13" s="6"/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9">
        <f>SUM($C$7:C13)</f>
        <v>0</v>
      </c>
      <c r="J13" s="9">
        <f>SUM($D$7:D13)+SUM($E$7:E13)+SUM($F$7:F13)-SUM($G$7:G13)-SUM($H$7:H13)</f>
        <v>0</v>
      </c>
      <c r="K13" s="10" t="str">
        <f t="shared" si="0"/>
        <v>BALANCED</v>
      </c>
      <c r="L13" s="6"/>
    </row>
    <row r="14" spans="1:12" x14ac:dyDescent="0.55000000000000004">
      <c r="A14" s="11">
        <v>8</v>
      </c>
      <c r="B14" s="12"/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4">
        <f>SUM($C$7:C14)</f>
        <v>0</v>
      </c>
      <c r="J14" s="14">
        <f>SUM($D$7:D14)+SUM($E$7:E14)+SUM($F$7:F14)-SUM($G$7:G14)-SUM($H$7:H14)</f>
        <v>0</v>
      </c>
      <c r="K14" s="15" t="str">
        <f t="shared" si="0"/>
        <v>BALANCED</v>
      </c>
      <c r="L14" s="12"/>
    </row>
    <row r="15" spans="1:12" x14ac:dyDescent="0.55000000000000004">
      <c r="A15" s="5">
        <v>9</v>
      </c>
      <c r="B15" s="6"/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9">
        <f>SUM($C$7:C15)</f>
        <v>0</v>
      </c>
      <c r="J15" s="9">
        <f>SUM($D$7:D15)+SUM($E$7:E15)+SUM($F$7:F15)-SUM($G$7:G15)-SUM($H$7:H15)</f>
        <v>0</v>
      </c>
      <c r="K15" s="10" t="str">
        <f t="shared" si="0"/>
        <v>BALANCED</v>
      </c>
      <c r="L15" s="6"/>
    </row>
    <row r="16" spans="1:12" x14ac:dyDescent="0.55000000000000004">
      <c r="A16" s="11">
        <v>10</v>
      </c>
      <c r="B16" s="12"/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4">
        <f>SUM($C$7:C16)</f>
        <v>0</v>
      </c>
      <c r="J16" s="14">
        <f>SUM($D$7:D16)+SUM($E$7:E16)+SUM($F$7:F16)-SUM($G$7:G16)-SUM($H$7:H16)</f>
        <v>0</v>
      </c>
      <c r="K16" s="15" t="str">
        <f t="shared" si="0"/>
        <v>BALANCED</v>
      </c>
      <c r="L16" s="12"/>
    </row>
    <row r="17" spans="1:12" x14ac:dyDescent="0.55000000000000004">
      <c r="A17" s="5">
        <v>11</v>
      </c>
      <c r="B17" s="6"/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9">
        <f>SUM($C$7:C17)</f>
        <v>0</v>
      </c>
      <c r="J17" s="9">
        <f>SUM($D$7:D17)+SUM($E$7:E17)+SUM($F$7:F17)-SUM($G$7:G17)-SUM($H$7:H17)</f>
        <v>0</v>
      </c>
      <c r="K17" s="10" t="str">
        <f t="shared" si="0"/>
        <v>BALANCED</v>
      </c>
      <c r="L17" s="6"/>
    </row>
    <row r="18" spans="1:12" x14ac:dyDescent="0.55000000000000004">
      <c r="A18" s="11">
        <v>12</v>
      </c>
      <c r="B18" s="12"/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4">
        <f>SUM($C$7:C18)</f>
        <v>0</v>
      </c>
      <c r="J18" s="14">
        <f>SUM($D$7:D18)+SUM($E$7:E18)+SUM($F$7:F18)-SUM($G$7:G18)-SUM($H$7:H18)</f>
        <v>0</v>
      </c>
      <c r="K18" s="15" t="str">
        <f t="shared" si="0"/>
        <v>BALANCED</v>
      </c>
      <c r="L18" s="12"/>
    </row>
    <row r="19" spans="1:12" x14ac:dyDescent="0.55000000000000004">
      <c r="A19" s="5">
        <v>13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9">
        <f>SUM($C$7:C19)</f>
        <v>0</v>
      </c>
      <c r="J19" s="9">
        <f>SUM($D$7:D19)+SUM($E$7:E19)+SUM($F$7:F19)-SUM($G$7:G19)-SUM($H$7:H19)</f>
        <v>0</v>
      </c>
      <c r="K19" s="10" t="str">
        <f t="shared" si="0"/>
        <v>BALANCED</v>
      </c>
      <c r="L19" s="6"/>
    </row>
    <row r="20" spans="1:12" x14ac:dyDescent="0.55000000000000004">
      <c r="A20" s="11">
        <v>14</v>
      </c>
      <c r="B20" s="12"/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4">
        <f>SUM($C$7:C20)</f>
        <v>0</v>
      </c>
      <c r="J20" s="14">
        <f>SUM($D$7:D20)+SUM($E$7:E20)+SUM($F$7:F20)-SUM($G$7:G20)-SUM($H$7:H20)</f>
        <v>0</v>
      </c>
      <c r="K20" s="15" t="str">
        <f t="shared" si="0"/>
        <v>BALANCED</v>
      </c>
      <c r="L20" s="12"/>
    </row>
    <row r="21" spans="1:12" x14ac:dyDescent="0.55000000000000004">
      <c r="A21" s="5">
        <v>15</v>
      </c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9">
        <f>SUM($C$7:C21)</f>
        <v>0</v>
      </c>
      <c r="J21" s="9">
        <f>SUM($D$7:D21)+SUM($E$7:E21)+SUM($F$7:F21)-SUM($G$7:G21)-SUM($H$7:H21)</f>
        <v>0</v>
      </c>
      <c r="K21" s="10" t="str">
        <f t="shared" si="0"/>
        <v>BALANCED</v>
      </c>
      <c r="L21" s="6"/>
    </row>
    <row r="22" spans="1:12" x14ac:dyDescent="0.55000000000000004">
      <c r="A22" s="11">
        <v>16</v>
      </c>
      <c r="B22" s="12"/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4">
        <f>SUM($C$7:C22)</f>
        <v>0</v>
      </c>
      <c r="J22" s="14">
        <f>SUM($D$7:D22)+SUM($E$7:E22)+SUM($F$7:F22)-SUM($G$7:G22)-SUM($H$7:H22)</f>
        <v>0</v>
      </c>
      <c r="K22" s="15" t="str">
        <f t="shared" si="0"/>
        <v>BALANCED</v>
      </c>
      <c r="L22" s="12"/>
    </row>
    <row r="23" spans="1:12" x14ac:dyDescent="0.55000000000000004">
      <c r="A23" s="5">
        <v>17</v>
      </c>
      <c r="B23" s="6"/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9">
        <f>SUM($C$7:C23)</f>
        <v>0</v>
      </c>
      <c r="J23" s="9">
        <f>SUM($D$7:D23)+SUM($E$7:E23)+SUM($F$7:F23)-SUM($G$7:G23)-SUM($H$7:H23)</f>
        <v>0</v>
      </c>
      <c r="K23" s="10" t="str">
        <f t="shared" si="0"/>
        <v>BALANCED</v>
      </c>
      <c r="L23" s="6"/>
    </row>
    <row r="24" spans="1:12" x14ac:dyDescent="0.55000000000000004">
      <c r="A24" s="11">
        <v>18</v>
      </c>
      <c r="B24" s="12"/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4">
        <f>SUM($C$7:C24)</f>
        <v>0</v>
      </c>
      <c r="J24" s="14">
        <f>SUM($D$7:D24)+SUM($E$7:E24)+SUM($F$7:F24)-SUM($G$7:G24)-SUM($H$7:H24)</f>
        <v>0</v>
      </c>
      <c r="K24" s="15" t="str">
        <f t="shared" si="0"/>
        <v>BALANCED</v>
      </c>
      <c r="L24" s="12"/>
    </row>
    <row r="25" spans="1:12" x14ac:dyDescent="0.55000000000000004">
      <c r="A25" s="5">
        <v>19</v>
      </c>
      <c r="B25" s="6"/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9">
        <f>SUM($C$7:C25)</f>
        <v>0</v>
      </c>
      <c r="J25" s="9">
        <f>SUM($D$7:D25)+SUM($E$7:E25)+SUM($F$7:F25)-SUM($G$7:G25)-SUM($H$7:H25)</f>
        <v>0</v>
      </c>
      <c r="K25" s="10" t="str">
        <f t="shared" si="0"/>
        <v>BALANCED</v>
      </c>
      <c r="L25" s="6"/>
    </row>
    <row r="26" spans="1:12" x14ac:dyDescent="0.55000000000000004">
      <c r="A26" s="11">
        <v>20</v>
      </c>
      <c r="B26" s="12"/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4">
        <f>SUM($C$7:C26)</f>
        <v>0</v>
      </c>
      <c r="J26" s="14">
        <f>SUM($D$7:D26)+SUM($E$7:E26)+SUM($F$7:F26)-SUM($G$7:G26)-SUM($H$7:H26)</f>
        <v>0</v>
      </c>
      <c r="K26" s="15" t="str">
        <f t="shared" si="0"/>
        <v>BALANCED</v>
      </c>
      <c r="L26" s="12"/>
    </row>
    <row r="27" spans="1:12" ht="15" customHeight="1" x14ac:dyDescent="0.55000000000000004">
      <c r="A27" s="27" t="s">
        <v>66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</sheetData>
  <mergeCells count="5">
    <mergeCell ref="A1:L1"/>
    <mergeCell ref="A2:L2"/>
    <mergeCell ref="A4:L4"/>
    <mergeCell ref="A6:L6"/>
    <mergeCell ref="A27:L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K1"/>
    </sheetView>
  </sheetViews>
  <sheetFormatPr defaultColWidth="8.68359375" defaultRowHeight="14.4" x14ac:dyDescent="0.55000000000000004"/>
  <cols>
    <col min="1" max="1" width="5" customWidth="1"/>
    <col min="2" max="2" width="32" customWidth="1"/>
    <col min="3" max="8" width="13" customWidth="1"/>
    <col min="9" max="9" width="14" customWidth="1"/>
    <col min="10" max="10" width="18" customWidth="1"/>
    <col min="11" max="11" width="12" customWidth="1"/>
  </cols>
  <sheetData>
    <row r="1" spans="1:11" ht="25.5" customHeight="1" x14ac:dyDescent="0.55000000000000004">
      <c r="A1" s="25" t="s">
        <v>67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8" customHeight="1" x14ac:dyDescent="0.55000000000000004">
      <c r="A2" s="26" t="s">
        <v>68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33.75" customHeight="1" x14ac:dyDescent="0.55000000000000004">
      <c r="A3" s="4" t="s">
        <v>21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55</v>
      </c>
      <c r="G3" s="4" t="s">
        <v>56</v>
      </c>
      <c r="H3" s="4" t="s">
        <v>57</v>
      </c>
      <c r="I3" s="4" t="s">
        <v>58</v>
      </c>
      <c r="J3" s="4" t="s">
        <v>59</v>
      </c>
      <c r="K3" s="4" t="s">
        <v>41</v>
      </c>
    </row>
    <row r="4" spans="1:11" x14ac:dyDescent="0.55000000000000004">
      <c r="A4" s="29" t="s">
        <v>61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ht="24.6" x14ac:dyDescent="0.55000000000000004">
      <c r="A5" s="16" t="s">
        <v>62</v>
      </c>
      <c r="B5" s="17" t="s">
        <v>63</v>
      </c>
      <c r="C5" s="18">
        <v>10000000</v>
      </c>
      <c r="D5" s="18">
        <v>10000000</v>
      </c>
      <c r="E5" s="18">
        <v>0</v>
      </c>
      <c r="F5" s="18">
        <v>0</v>
      </c>
      <c r="G5" s="18">
        <v>0</v>
      </c>
      <c r="H5" s="18">
        <v>0</v>
      </c>
      <c r="I5" s="19">
        <f>C5</f>
        <v>10000000</v>
      </c>
      <c r="J5" s="19">
        <f>D5+E5+F5-G5-H5</f>
        <v>10000000</v>
      </c>
      <c r="K5" s="20" t="str">
        <f>IF(ROUND(I5-J5,2)=0,"BALANCED","ERROR")</f>
        <v>BALANCED</v>
      </c>
    </row>
    <row r="6" spans="1:11" x14ac:dyDescent="0.55000000000000004">
      <c r="A6" s="30" t="s">
        <v>69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x14ac:dyDescent="0.55000000000000004">
      <c r="A7" s="5">
        <v>1</v>
      </c>
      <c r="B7" s="6"/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9">
        <f>SUM($C$7:C7)</f>
        <v>0</v>
      </c>
      <c r="J7" s="9">
        <f>SUM($D$7:D7)+SUM($E$7:E7)+SUM($F$7:F7)-SUM($G$7:G7)-SUM($H$7:H7)</f>
        <v>0</v>
      </c>
      <c r="K7" s="10" t="str">
        <f t="shared" ref="K7:K21" si="0">IF(ROUND(I7-J7,2)=0,"BALANCED","ERROR")</f>
        <v>BALANCED</v>
      </c>
    </row>
    <row r="8" spans="1:11" x14ac:dyDescent="0.55000000000000004">
      <c r="A8" s="11">
        <v>2</v>
      </c>
      <c r="B8" s="12"/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4">
        <f>SUM($C$7:C8)</f>
        <v>0</v>
      </c>
      <c r="J8" s="14">
        <f>SUM($D$7:D8)+SUM($E$7:E8)+SUM($F$7:F8)-SUM($G$7:G8)-SUM($H$7:H8)</f>
        <v>0</v>
      </c>
      <c r="K8" s="15" t="str">
        <f t="shared" si="0"/>
        <v>BALANCED</v>
      </c>
    </row>
    <row r="9" spans="1:11" x14ac:dyDescent="0.55000000000000004">
      <c r="A9" s="5">
        <v>3</v>
      </c>
      <c r="B9" s="6"/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9">
        <f>SUM($C$7:C9)</f>
        <v>0</v>
      </c>
      <c r="J9" s="9">
        <f>SUM($D$7:D9)+SUM($E$7:E9)+SUM($F$7:F9)-SUM($G$7:G9)-SUM($H$7:H9)</f>
        <v>0</v>
      </c>
      <c r="K9" s="10" t="str">
        <f t="shared" si="0"/>
        <v>BALANCED</v>
      </c>
    </row>
    <row r="10" spans="1:11" x14ac:dyDescent="0.55000000000000004">
      <c r="A10" s="11">
        <v>4</v>
      </c>
      <c r="B10" s="12"/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4">
        <f>SUM($C$7:C10)</f>
        <v>0</v>
      </c>
      <c r="J10" s="14">
        <f>SUM($D$7:D10)+SUM($E$7:E10)+SUM($F$7:F10)-SUM($G$7:G10)-SUM($H$7:H10)</f>
        <v>0</v>
      </c>
      <c r="K10" s="15" t="str">
        <f t="shared" si="0"/>
        <v>BALANCED</v>
      </c>
    </row>
    <row r="11" spans="1:11" x14ac:dyDescent="0.55000000000000004">
      <c r="A11" s="5">
        <v>5</v>
      </c>
      <c r="B11" s="6"/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9">
        <f>SUM($C$7:C11)</f>
        <v>0</v>
      </c>
      <c r="J11" s="9">
        <f>SUM($D$7:D11)+SUM($E$7:E11)+SUM($F$7:F11)-SUM($G$7:G11)-SUM($H$7:H11)</f>
        <v>0</v>
      </c>
      <c r="K11" s="10" t="str">
        <f t="shared" si="0"/>
        <v>BALANCED</v>
      </c>
    </row>
    <row r="12" spans="1:11" x14ac:dyDescent="0.55000000000000004">
      <c r="A12" s="11">
        <v>6</v>
      </c>
      <c r="B12" s="12"/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4">
        <f>SUM($C$7:C12)</f>
        <v>0</v>
      </c>
      <c r="J12" s="14">
        <f>SUM($D$7:D12)+SUM($E$7:E12)+SUM($F$7:F12)-SUM($G$7:G12)-SUM($H$7:H12)</f>
        <v>0</v>
      </c>
      <c r="K12" s="15" t="str">
        <f t="shared" si="0"/>
        <v>BALANCED</v>
      </c>
    </row>
    <row r="13" spans="1:11" x14ac:dyDescent="0.55000000000000004">
      <c r="A13" s="5">
        <v>7</v>
      </c>
      <c r="B13" s="6"/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9">
        <f>SUM($C$7:C13)</f>
        <v>0</v>
      </c>
      <c r="J13" s="9">
        <f>SUM($D$7:D13)+SUM($E$7:E13)+SUM($F$7:F13)-SUM($G$7:G13)-SUM($H$7:H13)</f>
        <v>0</v>
      </c>
      <c r="K13" s="10" t="str">
        <f t="shared" si="0"/>
        <v>BALANCED</v>
      </c>
    </row>
    <row r="14" spans="1:11" x14ac:dyDescent="0.55000000000000004">
      <c r="A14" s="11">
        <v>8</v>
      </c>
      <c r="B14" s="12"/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4">
        <f>SUM($C$7:C14)</f>
        <v>0</v>
      </c>
      <c r="J14" s="14">
        <f>SUM($D$7:D14)+SUM($E$7:E14)+SUM($F$7:F14)-SUM($G$7:G14)-SUM($H$7:H14)</f>
        <v>0</v>
      </c>
      <c r="K14" s="15" t="str">
        <f t="shared" si="0"/>
        <v>BALANCED</v>
      </c>
    </row>
    <row r="15" spans="1:11" x14ac:dyDescent="0.55000000000000004">
      <c r="A15" s="5">
        <v>9</v>
      </c>
      <c r="B15" s="6"/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9">
        <f>SUM($C$7:C15)</f>
        <v>0</v>
      </c>
      <c r="J15" s="9">
        <f>SUM($D$7:D15)+SUM($E$7:E15)+SUM($F$7:F15)-SUM($G$7:G15)-SUM($H$7:H15)</f>
        <v>0</v>
      </c>
      <c r="K15" s="10" t="str">
        <f t="shared" si="0"/>
        <v>BALANCED</v>
      </c>
    </row>
    <row r="16" spans="1:11" x14ac:dyDescent="0.55000000000000004">
      <c r="A16" s="11">
        <v>10</v>
      </c>
      <c r="B16" s="12"/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4">
        <f>SUM($C$7:C16)</f>
        <v>0</v>
      </c>
      <c r="J16" s="14">
        <f>SUM($D$7:D16)+SUM($E$7:E16)+SUM($F$7:F16)-SUM($G$7:G16)-SUM($H$7:H16)</f>
        <v>0</v>
      </c>
      <c r="K16" s="15" t="str">
        <f t="shared" si="0"/>
        <v>BALANCED</v>
      </c>
    </row>
    <row r="17" spans="1:11" x14ac:dyDescent="0.55000000000000004">
      <c r="A17" s="5">
        <v>11</v>
      </c>
      <c r="B17" s="6"/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9">
        <f>SUM($C$7:C17)</f>
        <v>0</v>
      </c>
      <c r="J17" s="9">
        <f>SUM($D$7:D17)+SUM($E$7:E17)+SUM($F$7:F17)-SUM($G$7:G17)-SUM($H$7:H17)</f>
        <v>0</v>
      </c>
      <c r="K17" s="10" t="str">
        <f t="shared" si="0"/>
        <v>BALANCED</v>
      </c>
    </row>
    <row r="18" spans="1:11" x14ac:dyDescent="0.55000000000000004">
      <c r="A18" s="11">
        <v>12</v>
      </c>
      <c r="B18" s="12"/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4">
        <f>SUM($C$7:C18)</f>
        <v>0</v>
      </c>
      <c r="J18" s="14">
        <f>SUM($D$7:D18)+SUM($E$7:E18)+SUM($F$7:F18)-SUM($G$7:G18)-SUM($H$7:H18)</f>
        <v>0</v>
      </c>
      <c r="K18" s="15" t="str">
        <f t="shared" si="0"/>
        <v>BALANCED</v>
      </c>
    </row>
    <row r="19" spans="1:11" x14ac:dyDescent="0.55000000000000004">
      <c r="A19" s="5">
        <v>13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9">
        <f>SUM($C$7:C19)</f>
        <v>0</v>
      </c>
      <c r="J19" s="9">
        <f>SUM($D$7:D19)+SUM($E$7:E19)+SUM($F$7:F19)-SUM($G$7:G19)-SUM($H$7:H19)</f>
        <v>0</v>
      </c>
      <c r="K19" s="10" t="str">
        <f t="shared" si="0"/>
        <v>BALANCED</v>
      </c>
    </row>
    <row r="20" spans="1:11" x14ac:dyDescent="0.55000000000000004">
      <c r="A20" s="11">
        <v>14</v>
      </c>
      <c r="B20" s="12"/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4">
        <f>SUM($C$7:C20)</f>
        <v>0</v>
      </c>
      <c r="J20" s="14">
        <f>SUM($D$7:D20)+SUM($E$7:E20)+SUM($F$7:F20)-SUM($G$7:G20)-SUM($H$7:H20)</f>
        <v>0</v>
      </c>
      <c r="K20" s="15" t="str">
        <f t="shared" si="0"/>
        <v>BALANCED</v>
      </c>
    </row>
    <row r="21" spans="1:11" x14ac:dyDescent="0.55000000000000004">
      <c r="A21" s="5">
        <v>15</v>
      </c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9">
        <f>SUM($C$7:C21)</f>
        <v>0</v>
      </c>
      <c r="J21" s="9">
        <f>SUM($D$7:D21)+SUM($E$7:E21)+SUM($F$7:F21)-SUM($G$7:G21)-SUM($H$7:H21)</f>
        <v>0</v>
      </c>
      <c r="K21" s="10" t="str">
        <f t="shared" si="0"/>
        <v>BALANCED</v>
      </c>
    </row>
    <row r="22" spans="1:11" ht="15" customHeight="1" x14ac:dyDescent="0.55000000000000004">
      <c r="A22" s="27" t="s">
        <v>66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</row>
  </sheetData>
  <mergeCells count="5">
    <mergeCell ref="A1:K1"/>
    <mergeCell ref="A2:K2"/>
    <mergeCell ref="A4:K4"/>
    <mergeCell ref="A6:K6"/>
    <mergeCell ref="A22:K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Worked Example</vt:lpstr>
      <vt:lpstr>Group Task Template</vt:lpstr>
      <vt:lpstr>Take-Home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ECO</cp:lastModifiedBy>
  <cp:revision>0</cp:revision>
  <dcterms:created xsi:type="dcterms:W3CDTF">2026-08-20T22:11:24Z</dcterms:created>
  <dcterms:modified xsi:type="dcterms:W3CDTF">2026-08-28T12:23:06Z</dcterms:modified>
  <dc:language>en-US</dc:language>
</cp:coreProperties>
</file>